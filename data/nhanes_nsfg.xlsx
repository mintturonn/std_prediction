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ttu/std_prediction/data/"/>
    </mc:Choice>
  </mc:AlternateContent>
  <xr:revisionPtr revIDLastSave="0" documentId="13_ncr:1_{853EB7CE-6D82-474E-808A-6F7DB93E5477}" xr6:coauthVersionLast="47" xr6:coauthVersionMax="47" xr10:uidLastSave="{00000000-0000-0000-0000-000000000000}"/>
  <bookViews>
    <workbookView xWindow="28960" yWindow="-4420" windowWidth="36900" windowHeight="19280" xr2:uid="{D4498CDB-3480-8A42-8919-DA928AC75E25}"/>
  </bookViews>
  <sheets>
    <sheet name="nhanes" sheetId="1" r:id="rId1"/>
    <sheet name="nsfg" sheetId="2" r:id="rId2"/>
    <sheet name="params" sheetId="4" r:id="rId3"/>
    <sheet name="Sheet1" sheetId="3" r:id="rId4"/>
    <sheet name="Sheet3" sheetId="5" r:id="rId5"/>
    <sheet name="Sheet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3" i="1" l="1"/>
  <c r="AA72" i="1"/>
  <c r="AA71" i="1"/>
  <c r="AA70" i="1"/>
  <c r="Y73" i="1"/>
  <c r="Y72" i="1"/>
  <c r="Y71" i="1"/>
  <c r="Y70" i="1"/>
  <c r="AA55" i="1"/>
  <c r="AA54" i="1"/>
  <c r="AA53" i="1"/>
  <c r="AA52" i="1"/>
  <c r="Y55" i="1"/>
  <c r="Y54" i="1"/>
  <c r="Y53" i="1"/>
  <c r="Y52" i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2" i="2"/>
  <c r="R2" i="2"/>
  <c r="Q2" i="2"/>
  <c r="R103" i="1"/>
  <c r="R95" i="1"/>
  <c r="R87" i="1"/>
  <c r="R79" i="1"/>
  <c r="R63" i="1"/>
  <c r="R55" i="1"/>
  <c r="R47" i="1"/>
  <c r="R39" i="1"/>
  <c r="R31" i="1"/>
  <c r="R23" i="1"/>
  <c r="R15" i="1"/>
  <c r="R7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N109" i="1"/>
  <c r="N108" i="1"/>
  <c r="N107" i="1"/>
  <c r="N106" i="1"/>
  <c r="Q106" i="1" s="1"/>
  <c r="N105" i="1"/>
  <c r="N104" i="1"/>
  <c r="Q104" i="1" s="1"/>
  <c r="R104" i="1" s="1"/>
  <c r="N103" i="1"/>
  <c r="N102" i="1"/>
  <c r="N101" i="1"/>
  <c r="N100" i="1"/>
  <c r="N99" i="1"/>
  <c r="N98" i="1"/>
  <c r="N97" i="1"/>
  <c r="N96" i="1"/>
  <c r="Q96" i="1" s="1"/>
  <c r="R97" i="1" s="1"/>
  <c r="N95" i="1"/>
  <c r="N94" i="1"/>
  <c r="Q94" i="1" s="1"/>
  <c r="R94" i="1" s="1"/>
  <c r="N93" i="1"/>
  <c r="N92" i="1"/>
  <c r="N91" i="1"/>
  <c r="N90" i="1"/>
  <c r="N89" i="1"/>
  <c r="N88" i="1"/>
  <c r="Q88" i="1" s="1"/>
  <c r="R88" i="1" s="1"/>
  <c r="N87" i="1"/>
  <c r="N86" i="1"/>
  <c r="N85" i="1"/>
  <c r="N84" i="1"/>
  <c r="N83" i="1"/>
  <c r="N82" i="1"/>
  <c r="Q82" i="1" s="1"/>
  <c r="N81" i="1"/>
  <c r="N80" i="1"/>
  <c r="Q80" i="1" s="1"/>
  <c r="R81" i="1" s="1"/>
  <c r="N79" i="1"/>
  <c r="N78" i="1"/>
  <c r="Q78" i="1" s="1"/>
  <c r="R78" i="1" s="1"/>
  <c r="N77" i="1"/>
  <c r="N76" i="1"/>
  <c r="N75" i="1"/>
  <c r="N74" i="1"/>
  <c r="Q74" i="1" s="1"/>
  <c r="N73" i="1"/>
  <c r="N72" i="1"/>
  <c r="Q72" i="1" s="1"/>
  <c r="R73" i="1" s="1"/>
  <c r="N71" i="1"/>
  <c r="N70" i="1"/>
  <c r="N69" i="1"/>
  <c r="N68" i="1"/>
  <c r="N67" i="1"/>
  <c r="N66" i="1"/>
  <c r="N65" i="1"/>
  <c r="N64" i="1"/>
  <c r="Q64" i="1" s="1"/>
  <c r="R64" i="1" s="1"/>
  <c r="N63" i="1"/>
  <c r="N62" i="1"/>
  <c r="Q62" i="1" s="1"/>
  <c r="R62" i="1" s="1"/>
  <c r="N61" i="1"/>
  <c r="N60" i="1"/>
  <c r="N59" i="1"/>
  <c r="N58" i="1"/>
  <c r="Q58" i="1" s="1"/>
  <c r="N57" i="1"/>
  <c r="N56" i="1"/>
  <c r="Q56" i="1" s="1"/>
  <c r="R57" i="1" s="1"/>
  <c r="N55" i="1"/>
  <c r="N54" i="1"/>
  <c r="N53" i="1"/>
  <c r="N52" i="1"/>
  <c r="Q52" i="1" s="1"/>
  <c r="N51" i="1"/>
  <c r="N50" i="1"/>
  <c r="Q50" i="1" s="1"/>
  <c r="N49" i="1"/>
  <c r="N48" i="1"/>
  <c r="Q48" i="1" s="1"/>
  <c r="R48" i="1" s="1"/>
  <c r="N47" i="1"/>
  <c r="N46" i="1"/>
  <c r="Q46" i="1" s="1"/>
  <c r="R46" i="1" s="1"/>
  <c r="N45" i="1"/>
  <c r="N44" i="1"/>
  <c r="N43" i="1"/>
  <c r="N42" i="1"/>
  <c r="N41" i="1"/>
  <c r="N40" i="1"/>
  <c r="Q40" i="1" s="1"/>
  <c r="R40" i="1" s="1"/>
  <c r="N39" i="1"/>
  <c r="N38" i="1"/>
  <c r="N37" i="1"/>
  <c r="N36" i="1"/>
  <c r="N35" i="1"/>
  <c r="N34" i="1"/>
  <c r="Q34" i="1" s="1"/>
  <c r="N33" i="1"/>
  <c r="N32" i="1"/>
  <c r="Q32" i="1" s="1"/>
  <c r="R33" i="1" s="1"/>
  <c r="N31" i="1"/>
  <c r="N30" i="1"/>
  <c r="Q30" i="1" s="1"/>
  <c r="R30" i="1" s="1"/>
  <c r="N29" i="1"/>
  <c r="N28" i="1"/>
  <c r="N27" i="1"/>
  <c r="N26" i="1"/>
  <c r="Q26" i="1" s="1"/>
  <c r="N25" i="1"/>
  <c r="N24" i="1"/>
  <c r="Q24" i="1" s="1"/>
  <c r="R25" i="1" s="1"/>
  <c r="N23" i="1"/>
  <c r="N22" i="1"/>
  <c r="N21" i="1"/>
  <c r="N20" i="1"/>
  <c r="N19" i="1"/>
  <c r="N18" i="1"/>
  <c r="N17" i="1"/>
  <c r="N16" i="1"/>
  <c r="Q16" i="1" s="1"/>
  <c r="R17" i="1" s="1"/>
  <c r="N15" i="1"/>
  <c r="N14" i="1"/>
  <c r="Q14" i="1" s="1"/>
  <c r="R14" i="1" s="1"/>
  <c r="N13" i="1"/>
  <c r="N12" i="1"/>
  <c r="N11" i="1"/>
  <c r="N10" i="1"/>
  <c r="N9" i="1"/>
  <c r="N8" i="1"/>
  <c r="Q8" i="1" s="1"/>
  <c r="R8" i="1" s="1"/>
  <c r="N7" i="1"/>
  <c r="N6" i="1"/>
  <c r="N5" i="1"/>
  <c r="N4" i="1"/>
  <c r="N3" i="1"/>
  <c r="N2" i="1"/>
  <c r="L99" i="1"/>
  <c r="L91" i="1"/>
  <c r="L75" i="1"/>
  <c r="L67" i="1"/>
  <c r="L59" i="1"/>
  <c r="L51" i="1"/>
  <c r="L43" i="1"/>
  <c r="L35" i="1"/>
  <c r="L27" i="1"/>
  <c r="L19" i="1"/>
  <c r="L11" i="1"/>
  <c r="L3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109" i="1"/>
  <c r="H108" i="1"/>
  <c r="K108" i="1" s="1"/>
  <c r="H107" i="1"/>
  <c r="H106" i="1"/>
  <c r="H105" i="1"/>
  <c r="H104" i="1"/>
  <c r="H103" i="1"/>
  <c r="H102" i="1"/>
  <c r="K102" i="1" s="1"/>
  <c r="L102" i="1" s="1"/>
  <c r="H101" i="1"/>
  <c r="H100" i="1"/>
  <c r="K100" i="1" s="1"/>
  <c r="L101" i="1" s="1"/>
  <c r="H99" i="1"/>
  <c r="H98" i="1"/>
  <c r="H97" i="1"/>
  <c r="H96" i="1"/>
  <c r="H95" i="1"/>
  <c r="H94" i="1"/>
  <c r="K94" i="1" s="1"/>
  <c r="H93" i="1"/>
  <c r="H92" i="1"/>
  <c r="K92" i="1" s="1"/>
  <c r="L93" i="1" s="1"/>
  <c r="H91" i="1"/>
  <c r="H90" i="1"/>
  <c r="H89" i="1"/>
  <c r="H88" i="1"/>
  <c r="K88" i="1" s="1"/>
  <c r="H87" i="1"/>
  <c r="H86" i="1"/>
  <c r="K86" i="1" s="1"/>
  <c r="H85" i="1"/>
  <c r="H84" i="1"/>
  <c r="K84" i="1" s="1"/>
  <c r="L84" i="1" s="1"/>
  <c r="H83" i="1"/>
  <c r="H82" i="1"/>
  <c r="H81" i="1"/>
  <c r="H80" i="1"/>
  <c r="H79" i="1"/>
  <c r="H78" i="1"/>
  <c r="H77" i="1"/>
  <c r="H76" i="1"/>
  <c r="K76" i="1" s="1"/>
  <c r="L77" i="1" s="1"/>
  <c r="H75" i="1"/>
  <c r="H74" i="1"/>
  <c r="H73" i="1"/>
  <c r="H72" i="1"/>
  <c r="H71" i="1"/>
  <c r="H70" i="1"/>
  <c r="K70" i="1" s="1"/>
  <c r="H69" i="1"/>
  <c r="H68" i="1"/>
  <c r="K68" i="1" s="1"/>
  <c r="H67" i="1"/>
  <c r="H66" i="1"/>
  <c r="H65" i="1"/>
  <c r="H64" i="1"/>
  <c r="H63" i="1"/>
  <c r="H62" i="1"/>
  <c r="H61" i="1"/>
  <c r="H60" i="1"/>
  <c r="K60" i="1" s="1"/>
  <c r="H59" i="1"/>
  <c r="H58" i="1"/>
  <c r="H57" i="1"/>
  <c r="H56" i="1"/>
  <c r="H55" i="1"/>
  <c r="H54" i="1"/>
  <c r="K54" i="1" s="1"/>
  <c r="H53" i="1"/>
  <c r="H52" i="1"/>
  <c r="K52" i="1" s="1"/>
  <c r="H51" i="1"/>
  <c r="H50" i="1"/>
  <c r="H49" i="1"/>
  <c r="H48" i="1"/>
  <c r="H47" i="1"/>
  <c r="H46" i="1"/>
  <c r="H45" i="1"/>
  <c r="H44" i="1"/>
  <c r="K44" i="1" s="1"/>
  <c r="H43" i="1"/>
  <c r="H42" i="1"/>
  <c r="H41" i="1"/>
  <c r="H40" i="1"/>
  <c r="H39" i="1"/>
  <c r="H38" i="1"/>
  <c r="K38" i="1" s="1"/>
  <c r="H37" i="1"/>
  <c r="H36" i="1"/>
  <c r="K36" i="1" s="1"/>
  <c r="H35" i="1"/>
  <c r="H34" i="1"/>
  <c r="H33" i="1"/>
  <c r="H32" i="1"/>
  <c r="K32" i="1" s="1"/>
  <c r="L33" i="1" s="1"/>
  <c r="H31" i="1"/>
  <c r="H30" i="1"/>
  <c r="H29" i="1"/>
  <c r="H28" i="1"/>
  <c r="H27" i="1"/>
  <c r="H26" i="1"/>
  <c r="H25" i="1"/>
  <c r="H24" i="1"/>
  <c r="H23" i="1"/>
  <c r="H22" i="1"/>
  <c r="K22" i="1" s="1"/>
  <c r="H21" i="1"/>
  <c r="H20" i="1"/>
  <c r="K20" i="1" s="1"/>
  <c r="H19" i="1"/>
  <c r="H18" i="1"/>
  <c r="H17" i="1"/>
  <c r="H16" i="1"/>
  <c r="K16" i="1" s="1"/>
  <c r="H15" i="1"/>
  <c r="H14" i="1"/>
  <c r="H13" i="1"/>
  <c r="H12" i="1"/>
  <c r="H11" i="1"/>
  <c r="H10" i="1"/>
  <c r="H9" i="1"/>
  <c r="H8" i="1"/>
  <c r="H7" i="1"/>
  <c r="H6" i="1"/>
  <c r="K6" i="1" s="1"/>
  <c r="H5" i="1"/>
  <c r="H4" i="1"/>
  <c r="K4" i="1" s="1"/>
  <c r="H3" i="1"/>
  <c r="H2" i="1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N49" i="2"/>
  <c r="N48" i="2"/>
  <c r="S48" i="2" s="1"/>
  <c r="N47" i="2"/>
  <c r="N46" i="2"/>
  <c r="N45" i="2"/>
  <c r="N44" i="2"/>
  <c r="N43" i="2"/>
  <c r="N42" i="2"/>
  <c r="S42" i="2" s="1"/>
  <c r="T42" i="2" s="1"/>
  <c r="N41" i="2"/>
  <c r="N40" i="2"/>
  <c r="S40" i="2" s="1"/>
  <c r="N39" i="2"/>
  <c r="N38" i="2"/>
  <c r="N37" i="2"/>
  <c r="N36" i="2"/>
  <c r="N35" i="2"/>
  <c r="N34" i="2"/>
  <c r="S34" i="2" s="1"/>
  <c r="T34" i="2" s="1"/>
  <c r="N33" i="2"/>
  <c r="N32" i="2"/>
  <c r="S32" i="2" s="1"/>
  <c r="N31" i="2"/>
  <c r="N30" i="2"/>
  <c r="N29" i="2"/>
  <c r="N28" i="2"/>
  <c r="N27" i="2"/>
  <c r="N26" i="2"/>
  <c r="S26" i="2" s="1"/>
  <c r="T26" i="2" s="1"/>
  <c r="N25" i="2"/>
  <c r="N24" i="2"/>
  <c r="S24" i="2" s="1"/>
  <c r="N23" i="2"/>
  <c r="N22" i="2"/>
  <c r="N21" i="2"/>
  <c r="N20" i="2"/>
  <c r="N19" i="2"/>
  <c r="N18" i="2"/>
  <c r="S18" i="2" s="1"/>
  <c r="T18" i="2" s="1"/>
  <c r="N17" i="2"/>
  <c r="N16" i="2"/>
  <c r="S16" i="2" s="1"/>
  <c r="T17" i="2" s="1"/>
  <c r="N15" i="2"/>
  <c r="N14" i="2"/>
  <c r="N13" i="2"/>
  <c r="N12" i="2"/>
  <c r="S12" i="2" s="1"/>
  <c r="N11" i="2"/>
  <c r="N10" i="2"/>
  <c r="S10" i="2" s="1"/>
  <c r="T10" i="2" s="1"/>
  <c r="N9" i="2"/>
  <c r="N8" i="2"/>
  <c r="S8" i="2" s="1"/>
  <c r="T9" i="2" s="1"/>
  <c r="N7" i="2"/>
  <c r="N6" i="2"/>
  <c r="N5" i="2"/>
  <c r="N4" i="2"/>
  <c r="N3" i="2"/>
  <c r="N2" i="2"/>
  <c r="S2" i="2" s="1"/>
  <c r="T3" i="2" s="1"/>
  <c r="J3" i="2"/>
  <c r="J2" i="2"/>
  <c r="L46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H49" i="2"/>
  <c r="H48" i="2"/>
  <c r="K48" i="2" s="1"/>
  <c r="H47" i="2"/>
  <c r="H46" i="2"/>
  <c r="K46" i="2" s="1"/>
  <c r="L47" i="2" s="1"/>
  <c r="H45" i="2"/>
  <c r="H44" i="2"/>
  <c r="K44" i="2" s="1"/>
  <c r="H43" i="2"/>
  <c r="H42" i="2"/>
  <c r="K42" i="2" s="1"/>
  <c r="L43" i="2" s="1"/>
  <c r="H41" i="2"/>
  <c r="H40" i="2"/>
  <c r="H39" i="2"/>
  <c r="H38" i="2"/>
  <c r="H37" i="2"/>
  <c r="H36" i="2"/>
  <c r="K36" i="2" s="1"/>
  <c r="L37" i="2" s="1"/>
  <c r="H35" i="2"/>
  <c r="H34" i="2"/>
  <c r="K34" i="2" s="1"/>
  <c r="L35" i="2" s="1"/>
  <c r="H33" i="2"/>
  <c r="H32" i="2"/>
  <c r="K32" i="2" s="1"/>
  <c r="H31" i="2"/>
  <c r="H30" i="2"/>
  <c r="H29" i="2"/>
  <c r="H28" i="2"/>
  <c r="K28" i="2" s="1"/>
  <c r="H27" i="2"/>
  <c r="H26" i="2"/>
  <c r="K26" i="2" s="1"/>
  <c r="H25" i="2"/>
  <c r="H24" i="2"/>
  <c r="H23" i="2"/>
  <c r="H22" i="2"/>
  <c r="H21" i="2"/>
  <c r="H20" i="2"/>
  <c r="K20" i="2" s="1"/>
  <c r="H19" i="2"/>
  <c r="H18" i="2"/>
  <c r="K18" i="2" s="1"/>
  <c r="L19" i="2" s="1"/>
  <c r="H17" i="2"/>
  <c r="H16" i="2"/>
  <c r="K16" i="2" s="1"/>
  <c r="H15" i="2"/>
  <c r="H14" i="2"/>
  <c r="H13" i="2"/>
  <c r="H12" i="2"/>
  <c r="K12" i="2" s="1"/>
  <c r="H11" i="2"/>
  <c r="H10" i="2"/>
  <c r="K10" i="2" s="1"/>
  <c r="L11" i="2" s="1"/>
  <c r="H9" i="2"/>
  <c r="H8" i="2"/>
  <c r="K8" i="2" s="1"/>
  <c r="H7" i="2"/>
  <c r="H6" i="2"/>
  <c r="H5" i="2"/>
  <c r="H4" i="2"/>
  <c r="K4" i="2" s="1"/>
  <c r="H3" i="2"/>
  <c r="H2" i="2"/>
  <c r="K2" i="2" s="1"/>
  <c r="L3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2" i="2"/>
  <c r="E9" i="6"/>
  <c r="D11" i="6"/>
  <c r="E11" i="6"/>
  <c r="G9" i="6"/>
  <c r="I9" i="6" s="1"/>
  <c r="G7" i="6"/>
  <c r="C11" i="4"/>
  <c r="K4" i="5"/>
  <c r="L4" i="5" s="1"/>
  <c r="G18" i="5"/>
  <c r="H16" i="5"/>
  <c r="H17" i="5"/>
  <c r="H18" i="5"/>
  <c r="G17" i="5"/>
  <c r="G16" i="5"/>
  <c r="H15" i="5"/>
  <c r="G15" i="5"/>
  <c r="C9" i="4"/>
  <c r="K5" i="5"/>
  <c r="L5" i="5" s="1"/>
  <c r="K6" i="5"/>
  <c r="L6" i="5" s="1"/>
  <c r="K7" i="5"/>
  <c r="L7" i="5" s="1"/>
  <c r="K8" i="5"/>
  <c r="L8" i="5" s="1"/>
  <c r="K9" i="5"/>
  <c r="L9" i="5" s="1"/>
  <c r="D9" i="4"/>
  <c r="E9" i="4"/>
  <c r="C10" i="4"/>
  <c r="D10" i="4"/>
  <c r="E10" i="4"/>
  <c r="D11" i="4"/>
  <c r="E11" i="4"/>
  <c r="D8" i="4"/>
  <c r="E8" i="4"/>
  <c r="C8" i="4"/>
  <c r="H5" i="3"/>
  <c r="C3" i="4"/>
  <c r="E3" i="4"/>
  <c r="D3" i="4"/>
  <c r="D2" i="4"/>
  <c r="E2" i="4"/>
  <c r="C2" i="4"/>
  <c r="H4" i="3"/>
  <c r="I6" i="3"/>
  <c r="F4" i="3"/>
  <c r="I4" i="3" s="1"/>
  <c r="I5" i="3"/>
  <c r="E4" i="3"/>
  <c r="H6" i="3"/>
  <c r="E5" i="3"/>
  <c r="E6" i="3"/>
  <c r="F5" i="3"/>
  <c r="F6" i="3"/>
  <c r="Y4" i="2"/>
  <c r="Y6" i="2"/>
  <c r="Y8" i="2"/>
  <c r="Y10" i="2"/>
  <c r="Y12" i="2"/>
  <c r="Y14" i="2"/>
  <c r="Y16" i="2"/>
  <c r="Y18" i="2"/>
  <c r="Y20" i="2"/>
  <c r="Y22" i="2"/>
  <c r="Y24" i="2"/>
  <c r="Y26" i="2"/>
  <c r="Y28" i="2"/>
  <c r="Y30" i="2"/>
  <c r="Y32" i="2"/>
  <c r="Y34" i="2"/>
  <c r="Y36" i="2"/>
  <c r="Y38" i="2"/>
  <c r="Y40" i="2"/>
  <c r="Y42" i="2"/>
  <c r="Y44" i="2"/>
  <c r="Y46" i="2"/>
  <c r="Y48" i="2"/>
  <c r="Y2" i="2"/>
  <c r="S14" i="2"/>
  <c r="T15" i="2" s="1"/>
  <c r="S20" i="2"/>
  <c r="T20" i="2" s="1"/>
  <c r="S22" i="2"/>
  <c r="T23" i="2" s="1"/>
  <c r="S28" i="2"/>
  <c r="T28" i="2" s="1"/>
  <c r="S30" i="2"/>
  <c r="T31" i="2" s="1"/>
  <c r="S36" i="2"/>
  <c r="T36" i="2" s="1"/>
  <c r="S38" i="2"/>
  <c r="T39" i="2" s="1"/>
  <c r="S44" i="2"/>
  <c r="T44" i="2" s="1"/>
  <c r="S46" i="2"/>
  <c r="T47" i="2" s="1"/>
  <c r="S4" i="2"/>
  <c r="T4" i="2" s="1"/>
  <c r="S6" i="2"/>
  <c r="T7" i="2" s="1"/>
  <c r="K6" i="2"/>
  <c r="L7" i="2" s="1"/>
  <c r="K14" i="2"/>
  <c r="L15" i="2" s="1"/>
  <c r="K22" i="2"/>
  <c r="L23" i="2" s="1"/>
  <c r="K24" i="2"/>
  <c r="L25" i="2" s="1"/>
  <c r="K30" i="2"/>
  <c r="L31" i="2" s="1"/>
  <c r="K38" i="2"/>
  <c r="L39" i="2" s="1"/>
  <c r="K40" i="2"/>
  <c r="L41" i="2" s="1"/>
  <c r="Q4" i="1"/>
  <c r="R5" i="1" s="1"/>
  <c r="Q6" i="1"/>
  <c r="R6" i="1" s="1"/>
  <c r="Q10" i="1"/>
  <c r="R10" i="1" s="1"/>
  <c r="Q12" i="1"/>
  <c r="R13" i="1" s="1"/>
  <c r="Q18" i="1"/>
  <c r="R18" i="1" s="1"/>
  <c r="Q20" i="1"/>
  <c r="R21" i="1" s="1"/>
  <c r="Q22" i="1"/>
  <c r="R22" i="1" s="1"/>
  <c r="Q28" i="1"/>
  <c r="R29" i="1" s="1"/>
  <c r="Q36" i="1"/>
  <c r="R37" i="1" s="1"/>
  <c r="Q38" i="1"/>
  <c r="R38" i="1" s="1"/>
  <c r="Q42" i="1"/>
  <c r="R42" i="1" s="1"/>
  <c r="Q44" i="1"/>
  <c r="R45" i="1" s="1"/>
  <c r="Q54" i="1"/>
  <c r="R54" i="1" s="1"/>
  <c r="Q60" i="1"/>
  <c r="R61" i="1" s="1"/>
  <c r="Q66" i="1"/>
  <c r="R66" i="1" s="1"/>
  <c r="Q68" i="1"/>
  <c r="R69" i="1" s="1"/>
  <c r="Q70" i="1"/>
  <c r="R70" i="1" s="1"/>
  <c r="Q76" i="1"/>
  <c r="R77" i="1" s="1"/>
  <c r="Q84" i="1"/>
  <c r="R85" i="1" s="1"/>
  <c r="Q86" i="1"/>
  <c r="R86" i="1" s="1"/>
  <c r="Q90" i="1"/>
  <c r="R90" i="1" s="1"/>
  <c r="Q92" i="1"/>
  <c r="R93" i="1" s="1"/>
  <c r="Q98" i="1"/>
  <c r="R98" i="1" s="1"/>
  <c r="Q100" i="1"/>
  <c r="R101" i="1" s="1"/>
  <c r="Q102" i="1"/>
  <c r="R102" i="1" s="1"/>
  <c r="Q108" i="1"/>
  <c r="R109" i="1" s="1"/>
  <c r="Q2" i="1"/>
  <c r="R2" i="1" s="1"/>
  <c r="W70" i="1"/>
  <c r="W72" i="1"/>
  <c r="W74" i="1"/>
  <c r="W76" i="1"/>
  <c r="W78" i="1"/>
  <c r="W80" i="1"/>
  <c r="W82" i="1"/>
  <c r="W84" i="1"/>
  <c r="W86" i="1"/>
  <c r="W88" i="1"/>
  <c r="W90" i="1"/>
  <c r="W92" i="1"/>
  <c r="W94" i="1"/>
  <c r="W96" i="1"/>
  <c r="W98" i="1"/>
  <c r="W100" i="1"/>
  <c r="W102" i="1"/>
  <c r="W104" i="1"/>
  <c r="W106" i="1"/>
  <c r="W108" i="1"/>
  <c r="W38" i="1"/>
  <c r="W40" i="1"/>
  <c r="W42" i="1"/>
  <c r="W44" i="1"/>
  <c r="W46" i="1"/>
  <c r="W48" i="1"/>
  <c r="W50" i="1"/>
  <c r="W52" i="1"/>
  <c r="W54" i="1"/>
  <c r="W56" i="1"/>
  <c r="W58" i="1"/>
  <c r="W60" i="1"/>
  <c r="W62" i="1"/>
  <c r="W64" i="1"/>
  <c r="W66" i="1"/>
  <c r="W68" i="1"/>
  <c r="W4" i="1"/>
  <c r="W6" i="1"/>
  <c r="W8" i="1"/>
  <c r="W10" i="1"/>
  <c r="W12" i="1"/>
  <c r="W14" i="1"/>
  <c r="W16" i="1"/>
  <c r="W18" i="1"/>
  <c r="W20" i="1"/>
  <c r="W22" i="1"/>
  <c r="W24" i="1"/>
  <c r="W26" i="1"/>
  <c r="W28" i="1"/>
  <c r="W30" i="1"/>
  <c r="W32" i="1"/>
  <c r="W34" i="1"/>
  <c r="W36" i="1"/>
  <c r="W2" i="1"/>
  <c r="K40" i="1"/>
  <c r="L41" i="1" s="1"/>
  <c r="K42" i="1"/>
  <c r="L42" i="1" s="1"/>
  <c r="K46" i="1"/>
  <c r="L46" i="1" s="1"/>
  <c r="K48" i="1"/>
  <c r="L49" i="1" s="1"/>
  <c r="K50" i="1"/>
  <c r="L50" i="1" s="1"/>
  <c r="K56" i="1"/>
  <c r="L57" i="1" s="1"/>
  <c r="K58" i="1"/>
  <c r="L58" i="1" s="1"/>
  <c r="K62" i="1"/>
  <c r="L62" i="1" s="1"/>
  <c r="K64" i="1"/>
  <c r="L65" i="1" s="1"/>
  <c r="K66" i="1"/>
  <c r="L66" i="1" s="1"/>
  <c r="K72" i="1"/>
  <c r="L73" i="1" s="1"/>
  <c r="K74" i="1"/>
  <c r="L74" i="1" s="1"/>
  <c r="K78" i="1"/>
  <c r="L78" i="1" s="1"/>
  <c r="K80" i="1"/>
  <c r="L81" i="1" s="1"/>
  <c r="K82" i="1"/>
  <c r="L82" i="1" s="1"/>
  <c r="K90" i="1"/>
  <c r="L90" i="1" s="1"/>
  <c r="K96" i="1"/>
  <c r="L96" i="1" s="1"/>
  <c r="K98" i="1"/>
  <c r="L98" i="1" s="1"/>
  <c r="K104" i="1"/>
  <c r="L105" i="1" s="1"/>
  <c r="K106" i="1"/>
  <c r="L106" i="1" s="1"/>
  <c r="K8" i="1"/>
  <c r="L9" i="1" s="1"/>
  <c r="K10" i="1"/>
  <c r="L10" i="1" s="1"/>
  <c r="K12" i="1"/>
  <c r="L13" i="1" s="1"/>
  <c r="K14" i="1"/>
  <c r="L15" i="1" s="1"/>
  <c r="K18" i="1"/>
  <c r="L18" i="1" s="1"/>
  <c r="K24" i="1"/>
  <c r="L25" i="1" s="1"/>
  <c r="K26" i="1"/>
  <c r="L26" i="1" s="1"/>
  <c r="K28" i="1"/>
  <c r="L28" i="1" s="1"/>
  <c r="K30" i="1"/>
  <c r="L30" i="1" s="1"/>
  <c r="K34" i="1"/>
  <c r="L34" i="1" s="1"/>
  <c r="K2" i="1"/>
  <c r="L2" i="1" s="1"/>
  <c r="L53" i="1" l="1"/>
  <c r="L52" i="1"/>
  <c r="R74" i="1"/>
  <c r="R75" i="1"/>
  <c r="L44" i="1"/>
  <c r="L45" i="1"/>
  <c r="L68" i="1"/>
  <c r="L69" i="1"/>
  <c r="L54" i="1"/>
  <c r="L55" i="1"/>
  <c r="L86" i="1"/>
  <c r="L87" i="1"/>
  <c r="L4" i="1"/>
  <c r="L5" i="1"/>
  <c r="L6" i="1"/>
  <c r="L7" i="1"/>
  <c r="L71" i="1"/>
  <c r="L70" i="1"/>
  <c r="R26" i="1"/>
  <c r="R27" i="1"/>
  <c r="R82" i="1"/>
  <c r="R83" i="1"/>
  <c r="R53" i="1"/>
  <c r="R52" i="1"/>
  <c r="L20" i="1"/>
  <c r="L21" i="1"/>
  <c r="L39" i="1"/>
  <c r="L38" i="1"/>
  <c r="L94" i="1"/>
  <c r="L95" i="1"/>
  <c r="R58" i="1"/>
  <c r="R59" i="1"/>
  <c r="L37" i="1"/>
  <c r="L36" i="1"/>
  <c r="L60" i="1"/>
  <c r="L61" i="1"/>
  <c r="L108" i="1"/>
  <c r="L109" i="1"/>
  <c r="L22" i="1"/>
  <c r="L23" i="1"/>
  <c r="R34" i="1"/>
  <c r="R35" i="1"/>
  <c r="R51" i="1"/>
  <c r="R50" i="1"/>
  <c r="R107" i="1"/>
  <c r="R106" i="1"/>
  <c r="L17" i="1"/>
  <c r="L16" i="1"/>
  <c r="L89" i="1"/>
  <c r="L88" i="1"/>
  <c r="L107" i="1"/>
  <c r="L12" i="1"/>
  <c r="R16" i="1"/>
  <c r="R32" i="1"/>
  <c r="R56" i="1"/>
  <c r="R72" i="1"/>
  <c r="R96" i="1"/>
  <c r="R9" i="1"/>
  <c r="R65" i="1"/>
  <c r="R89" i="1"/>
  <c r="L14" i="1"/>
  <c r="L31" i="1"/>
  <c r="L47" i="1"/>
  <c r="L63" i="1"/>
  <c r="L79" i="1"/>
  <c r="L103" i="1"/>
  <c r="R3" i="1"/>
  <c r="R11" i="1"/>
  <c r="R19" i="1"/>
  <c r="R43" i="1"/>
  <c r="R67" i="1"/>
  <c r="R91" i="1"/>
  <c r="R99" i="1"/>
  <c r="R71" i="1"/>
  <c r="L92" i="1"/>
  <c r="L29" i="1"/>
  <c r="R41" i="1"/>
  <c r="L8" i="1"/>
  <c r="L24" i="1"/>
  <c r="L32" i="1"/>
  <c r="L40" i="1"/>
  <c r="L48" i="1"/>
  <c r="L56" i="1"/>
  <c r="L64" i="1"/>
  <c r="L72" i="1"/>
  <c r="L104" i="1"/>
  <c r="R4" i="1"/>
  <c r="R12" i="1"/>
  <c r="R20" i="1"/>
  <c r="R28" i="1"/>
  <c r="R36" i="1"/>
  <c r="R44" i="1"/>
  <c r="R60" i="1"/>
  <c r="R68" i="1"/>
  <c r="R76" i="1"/>
  <c r="R84" i="1"/>
  <c r="R92" i="1"/>
  <c r="R100" i="1"/>
  <c r="R108" i="1"/>
  <c r="L83" i="1"/>
  <c r="L76" i="1"/>
  <c r="R80" i="1"/>
  <c r="L85" i="1"/>
  <c r="R49" i="1"/>
  <c r="R105" i="1"/>
  <c r="L80" i="1"/>
  <c r="L97" i="1"/>
  <c r="L100" i="1"/>
  <c r="R24" i="1"/>
  <c r="T11" i="2"/>
  <c r="T19" i="2"/>
  <c r="T27" i="2"/>
  <c r="T35" i="2"/>
  <c r="L36" i="2"/>
  <c r="T43" i="2"/>
  <c r="L38" i="2"/>
  <c r="L27" i="2"/>
  <c r="L26" i="2"/>
  <c r="T25" i="2"/>
  <c r="T24" i="2"/>
  <c r="T33" i="2"/>
  <c r="T32" i="2"/>
  <c r="T41" i="2"/>
  <c r="T40" i="2"/>
  <c r="T49" i="2"/>
  <c r="T48" i="2"/>
  <c r="L5" i="2"/>
  <c r="L4" i="2"/>
  <c r="L13" i="2"/>
  <c r="L12" i="2"/>
  <c r="L21" i="2"/>
  <c r="L20" i="2"/>
  <c r="L29" i="2"/>
  <c r="L28" i="2"/>
  <c r="L45" i="2"/>
  <c r="L44" i="2"/>
  <c r="T12" i="2"/>
  <c r="T13" i="2"/>
  <c r="L17" i="2"/>
  <c r="L16" i="2"/>
  <c r="L49" i="2"/>
  <c r="L48" i="2"/>
  <c r="L9" i="2"/>
  <c r="L8" i="2"/>
  <c r="L33" i="2"/>
  <c r="L32" i="2"/>
  <c r="L6" i="2"/>
  <c r="L14" i="2"/>
  <c r="L22" i="2"/>
  <c r="L30" i="2"/>
  <c r="T5" i="2"/>
  <c r="T21" i="2"/>
  <c r="T29" i="2"/>
  <c r="T37" i="2"/>
  <c r="T45" i="2"/>
  <c r="T6" i="2"/>
  <c r="T14" i="2"/>
  <c r="T22" i="2"/>
  <c r="T30" i="2"/>
  <c r="T38" i="2"/>
  <c r="T46" i="2"/>
  <c r="L24" i="2"/>
  <c r="L40" i="2"/>
  <c r="T8" i="2"/>
  <c r="T16" i="2"/>
  <c r="L10" i="2"/>
  <c r="L18" i="2"/>
  <c r="L34" i="2"/>
  <c r="L42" i="2"/>
  <c r="L2" i="2"/>
  <c r="T2" i="2"/>
  <c r="G11" i="6"/>
  <c r="J11" i="6"/>
  <c r="J7" i="6"/>
</calcChain>
</file>

<file path=xl/sharedStrings.xml><?xml version="1.0" encoding="utf-8"?>
<sst xmlns="http://schemas.openxmlformats.org/spreadsheetml/2006/main" count="1035" uniqueCount="121">
  <si>
    <t>SDDSRVYR</t>
  </si>
  <si>
    <t>gender</t>
  </si>
  <si>
    <t>female</t>
  </si>
  <si>
    <t>male</t>
  </si>
  <si>
    <t>1999-2000</t>
  </si>
  <si>
    <t>2001-2002</t>
  </si>
  <si>
    <t>2003-2004</t>
  </si>
  <si>
    <t>2005-2006</t>
  </si>
  <si>
    <t>2007-2008</t>
  </si>
  <si>
    <t>no_ct</t>
  </si>
  <si>
    <t>ct</t>
  </si>
  <si>
    <t>2009-2010</t>
  </si>
  <si>
    <t>2011-2012</t>
  </si>
  <si>
    <t>2013-2014</t>
  </si>
  <si>
    <t>2015-2016</t>
  </si>
  <si>
    <t>age</t>
  </si>
  <si>
    <t>all</t>
  </si>
  <si>
    <t>ct_N</t>
  </si>
  <si>
    <t>j_ct_diag</t>
  </si>
  <si>
    <t>j_no_ct</t>
  </si>
  <si>
    <t>j_ctnd</t>
  </si>
  <si>
    <t>j_ct</t>
  </si>
  <si>
    <t>j_N</t>
  </si>
  <si>
    <t>no_ctd</t>
  </si>
  <si>
    <t>no_d</t>
  </si>
  <si>
    <t>d</t>
  </si>
  <si>
    <t>d_N</t>
  </si>
  <si>
    <t>year</t>
  </si>
  <si>
    <t>cycle</t>
  </si>
  <si>
    <t>2011_2013</t>
  </si>
  <si>
    <t>&lt;25</t>
  </si>
  <si>
    <t>&gt;24</t>
  </si>
  <si>
    <t>2013_2015</t>
  </si>
  <si>
    <t>2015_2017</t>
  </si>
  <si>
    <t>ctd</t>
  </si>
  <si>
    <t>ctd_N</t>
  </si>
  <si>
    <t>2017_2019</t>
  </si>
  <si>
    <t>no_t</t>
  </si>
  <si>
    <t>t</t>
  </si>
  <si>
    <t>t_N</t>
  </si>
  <si>
    <t>j_none</t>
  </si>
  <si>
    <t>j_no_t</t>
  </si>
  <si>
    <t>j_tnd</t>
  </si>
  <si>
    <t>u25</t>
  </si>
  <si>
    <t>o24</t>
  </si>
  <si>
    <t>Median</t>
  </si>
  <si>
    <t>p25</t>
  </si>
  <si>
    <t>p75</t>
  </si>
  <si>
    <t>Natural clearance, duration (days) - women</t>
  </si>
  <si>
    <t>Natural clearance, duration (days) - men</t>
  </si>
  <si>
    <t>Background screening, percent per year, men 15-24y</t>
  </si>
  <si>
    <t>Background screening, percent per year, men 25-39y</t>
  </si>
  <si>
    <t>Background screening, percent per year, women 15-24y</t>
  </si>
  <si>
    <t>Background screening, percent per year, women 25-39y</t>
  </si>
  <si>
    <t>Proportion with symptomatic infection - men</t>
  </si>
  <si>
    <t>Proportion with symptomatic infection - women</t>
  </si>
  <si>
    <t>Reference</t>
  </si>
  <si>
    <t>Kreisel (2021)</t>
  </si>
  <si>
    <t>Paramerter_description</t>
  </si>
  <si>
    <t>Param</t>
  </si>
  <si>
    <t>psympt.m</t>
  </si>
  <si>
    <t>psympt.f</t>
  </si>
  <si>
    <t>screen.m1</t>
  </si>
  <si>
    <t>screen.m2</t>
  </si>
  <si>
    <t>screen.f1</t>
  </si>
  <si>
    <t>screen.f2</t>
  </si>
  <si>
    <t>clear.m</t>
  </si>
  <si>
    <t>clear.f</t>
  </si>
  <si>
    <t>derived</t>
  </si>
  <si>
    <t>NA</t>
  </si>
  <si>
    <t>Distribution</t>
  </si>
  <si>
    <t>Beta</t>
  </si>
  <si>
    <t>Shape1</t>
  </si>
  <si>
    <t>Shape2</t>
  </si>
  <si>
    <t>Screening rate (per month) - men 15-24y</t>
  </si>
  <si>
    <t>Screening rate (per month) - men 25-39y</t>
  </si>
  <si>
    <t>Screening rate (per month) - women 15-24y</t>
  </si>
  <si>
    <t>Screening rate (per month) - women 25-39y</t>
  </si>
  <si>
    <t>dursympt.f</t>
  </si>
  <si>
    <t>dursympt.m</t>
  </si>
  <si>
    <t>Time to treatment seeking if symptomatic (days), men</t>
  </si>
  <si>
    <t>Time to treatment seeking if symptomatic (days), women</t>
  </si>
  <si>
    <r>
      <t xml:space="preserve">Kreisel (2021) </t>
    </r>
    <r>
      <rPr>
        <sz val="12"/>
        <color rgb="FFFF0000"/>
        <rFont val="Calibri (Body)"/>
      </rPr>
      <t>- nsfg</t>
    </r>
  </si>
  <si>
    <t>shape</t>
  </si>
  <si>
    <t>scale</t>
  </si>
  <si>
    <t>Woman</t>
  </si>
  <si>
    <t>Man</t>
  </si>
  <si>
    <t>15-24</t>
  </si>
  <si>
    <t>25-39</t>
  </si>
  <si>
    <t>Sex</t>
  </si>
  <si>
    <t>Age</t>
  </si>
  <si>
    <t>shape1</t>
  </si>
  <si>
    <t>shape2</t>
  </si>
  <si>
    <t>years</t>
  </si>
  <si>
    <t>b0_age</t>
  </si>
  <si>
    <t>b_age</t>
  </si>
  <si>
    <t>b_year</t>
  </si>
  <si>
    <t>N</t>
  </si>
  <si>
    <t>1/(1+exp(-N)</t>
  </si>
  <si>
    <t>logit</t>
  </si>
  <si>
    <t>antilogit</t>
  </si>
  <si>
    <t>no d</t>
  </si>
  <si>
    <t>year2</t>
  </si>
  <si>
    <t>no_ctd0</t>
  </si>
  <si>
    <t>ctd0</t>
  </si>
  <si>
    <t>ctd_N0</t>
  </si>
  <si>
    <t>no_t0</t>
  </si>
  <si>
    <t>t0</t>
  </si>
  <si>
    <t>t_N0</t>
  </si>
  <si>
    <t>no_ct0</t>
  </si>
  <si>
    <t>ct0</t>
  </si>
  <si>
    <t>ct_N0</t>
  </si>
  <si>
    <t>no_d0</t>
  </si>
  <si>
    <t>d0</t>
  </si>
  <si>
    <t>d_N0</t>
  </si>
  <si>
    <t>mult_t</t>
  </si>
  <si>
    <t>t_temp</t>
  </si>
  <si>
    <t>ab</t>
  </si>
  <si>
    <t>ab0</t>
  </si>
  <si>
    <t>ab_N0</t>
  </si>
  <si>
    <t>ab_N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</si>
</sst>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8"/>
      <name val="Calibri"/>
      <family val="2"/>
      <scheme val="minor"/>
    </font>
    <font>
      <i/>
      <sz val="11"/>
      <color rgb="FFB0B0B0"/>
      <name val="Lucida Grande"/>
      <family val="2"/>
    </font>
    <font>
      <sz val="11"/>
      <color rgb="FF000000"/>
      <name val="Lucida Grande"/>
      <family val="2"/>
    </font>
    <font>
      <sz val="9"/>
      <color theme="1"/>
      <name val="Times"/>
      <family val="1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0" fillId="0" borderId="0" xfId="0" applyFont="1"/>
    <xf numFmtId="0" fontId="7" fillId="0" borderId="0" xfId="0" applyFont="1"/>
    <xf numFmtId="10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BE15-DE88-1442-AE5F-C0F0535632C1}">
  <dimension ref="A1:AA116"/>
  <sheetViews>
    <sheetView tabSelected="1" zoomScale="74" zoomScaleNormal="74" workbookViewId="0">
      <selection activeCell="X109" sqref="X109:AF119"/>
    </sheetView>
  </sheetViews>
  <sheetFormatPr baseColWidth="10" defaultRowHeight="16" x14ac:dyDescent="0.2"/>
  <cols>
    <col min="24" max="27" width="10.83203125" style="14"/>
  </cols>
  <sheetData>
    <row r="1" spans="1:27" s="4" customFormat="1" x14ac:dyDescent="0.2">
      <c r="A1" s="4" t="s">
        <v>28</v>
      </c>
      <c r="B1" s="4" t="s">
        <v>27</v>
      </c>
      <c r="D1" s="1" t="s">
        <v>0</v>
      </c>
      <c r="E1" s="1" t="s">
        <v>1</v>
      </c>
      <c r="F1" s="1" t="s">
        <v>15</v>
      </c>
      <c r="G1" s="1" t="s">
        <v>109</v>
      </c>
      <c r="H1" s="10" t="s">
        <v>9</v>
      </c>
      <c r="I1" s="1" t="s">
        <v>110</v>
      </c>
      <c r="J1" s="10" t="s">
        <v>10</v>
      </c>
      <c r="K1" s="1" t="s">
        <v>111</v>
      </c>
      <c r="L1" s="10" t="s">
        <v>17</v>
      </c>
      <c r="M1" s="1" t="s">
        <v>112</v>
      </c>
      <c r="N1" s="10" t="s">
        <v>24</v>
      </c>
      <c r="O1" s="1" t="s">
        <v>113</v>
      </c>
      <c r="P1" s="10" t="s">
        <v>25</v>
      </c>
      <c r="Q1" s="1" t="s">
        <v>114</v>
      </c>
      <c r="R1" s="10" t="s">
        <v>26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3" t="s">
        <v>118</v>
      </c>
      <c r="Y1" s="13" t="s">
        <v>117</v>
      </c>
      <c r="Z1" s="13" t="s">
        <v>119</v>
      </c>
      <c r="AA1" s="13" t="s">
        <v>120</v>
      </c>
    </row>
    <row r="2" spans="1:27" x14ac:dyDescent="0.2">
      <c r="A2" t="s">
        <v>4</v>
      </c>
      <c r="B2">
        <v>1999</v>
      </c>
      <c r="D2" s="2">
        <v>1</v>
      </c>
      <c r="E2" s="2" t="s">
        <v>2</v>
      </c>
      <c r="F2" s="2" t="s">
        <v>16</v>
      </c>
      <c r="G2" s="2">
        <v>1086</v>
      </c>
      <c r="H2" s="2">
        <f>ROUND(G2/2,0)</f>
        <v>543</v>
      </c>
      <c r="I2" s="2">
        <v>51</v>
      </c>
      <c r="J2" s="2">
        <f>ROUND(I2/2,0)</f>
        <v>26</v>
      </c>
      <c r="K2" s="2">
        <f>SUM(G2:I2)</f>
        <v>1680</v>
      </c>
      <c r="L2" s="2">
        <f>ROUND(K2/2,0)</f>
        <v>840</v>
      </c>
      <c r="M2" s="2">
        <v>1313</v>
      </c>
      <c r="N2" s="2">
        <f>ROUND(M2/2,0)</f>
        <v>657</v>
      </c>
      <c r="O2" s="2">
        <v>18</v>
      </c>
      <c r="P2" s="2">
        <f>ROUND(O2/2,0)</f>
        <v>9</v>
      </c>
      <c r="Q2" s="2">
        <f>SUM(M2:O2)</f>
        <v>1988</v>
      </c>
      <c r="R2" s="2">
        <f>ROUND(Q2/2,0)</f>
        <v>994</v>
      </c>
      <c r="S2" s="2">
        <v>14</v>
      </c>
      <c r="T2" s="2">
        <v>710</v>
      </c>
      <c r="U2" s="3">
        <v>0</v>
      </c>
      <c r="V2" s="2">
        <v>23</v>
      </c>
      <c r="W2" s="5">
        <f>SUM(S2:V2)</f>
        <v>747</v>
      </c>
      <c r="X2" s="14" t="s">
        <v>69</v>
      </c>
      <c r="Y2" s="14" t="s">
        <v>69</v>
      </c>
      <c r="Z2" s="14" t="s">
        <v>69</v>
      </c>
      <c r="AA2" s="14" t="s">
        <v>69</v>
      </c>
    </row>
    <row r="3" spans="1:27" x14ac:dyDescent="0.2">
      <c r="A3" t="s">
        <v>4</v>
      </c>
      <c r="B3">
        <v>2000</v>
      </c>
      <c r="D3" s="2"/>
      <c r="E3" s="2" t="s">
        <v>2</v>
      </c>
      <c r="F3" s="2" t="s">
        <v>16</v>
      </c>
      <c r="G3" s="2"/>
      <c r="H3" s="2">
        <f>ROUND(G2/2,0)</f>
        <v>543</v>
      </c>
      <c r="I3" s="2"/>
      <c r="J3" s="2">
        <f>ROUND(I2/2,0)</f>
        <v>26</v>
      </c>
      <c r="K3" s="2"/>
      <c r="L3" s="2">
        <f>ROUND(K2/2,0)</f>
        <v>840</v>
      </c>
      <c r="M3" s="2"/>
      <c r="N3" s="2">
        <f>ROUND(M2/2,0)</f>
        <v>657</v>
      </c>
      <c r="O3" s="2"/>
      <c r="P3" s="2">
        <f>ROUND(O2/2,0)</f>
        <v>9</v>
      </c>
      <c r="Q3" s="2"/>
      <c r="R3" s="2">
        <f>ROUND(Q2/2,0)</f>
        <v>994</v>
      </c>
      <c r="S3" s="2"/>
      <c r="T3" s="2"/>
      <c r="U3" s="3"/>
      <c r="V3" s="2"/>
      <c r="W3" s="5"/>
      <c r="X3" s="14" t="s">
        <v>69</v>
      </c>
      <c r="Y3" s="14" t="s">
        <v>69</v>
      </c>
      <c r="Z3" s="14" t="s">
        <v>69</v>
      </c>
      <c r="AA3" s="14" t="s">
        <v>69</v>
      </c>
    </row>
    <row r="4" spans="1:27" x14ac:dyDescent="0.2">
      <c r="A4" t="s">
        <v>5</v>
      </c>
      <c r="B4">
        <v>2001</v>
      </c>
      <c r="D4" s="2">
        <v>2</v>
      </c>
      <c r="E4" s="2" t="s">
        <v>2</v>
      </c>
      <c r="F4" s="2" t="s">
        <v>16</v>
      </c>
      <c r="G4" s="2">
        <v>1234</v>
      </c>
      <c r="H4" s="2">
        <f>ROUND(G4/2,0)</f>
        <v>617</v>
      </c>
      <c r="I4" s="2">
        <v>39</v>
      </c>
      <c r="J4" s="2">
        <f>ROUND(I4/2,0)</f>
        <v>20</v>
      </c>
      <c r="K4" s="2">
        <f t="shared" ref="K4:K36" si="0">SUM(G4:I4)</f>
        <v>1890</v>
      </c>
      <c r="L4" s="2">
        <f>ROUND(K4/2,0)</f>
        <v>945</v>
      </c>
      <c r="M4" s="2">
        <v>1500</v>
      </c>
      <c r="N4" s="2">
        <f>ROUND(M4/2,0)</f>
        <v>750</v>
      </c>
      <c r="O4" s="2">
        <v>18</v>
      </c>
      <c r="P4" s="2">
        <f>ROUND(O4/2,0)</f>
        <v>9</v>
      </c>
      <c r="Q4" s="2">
        <f t="shared" ref="Q4:Q108" si="1">SUM(M4:O4)</f>
        <v>2268</v>
      </c>
      <c r="R4" s="2">
        <f>ROUND(Q4/2,0)</f>
        <v>1134</v>
      </c>
      <c r="S4" s="2">
        <v>14</v>
      </c>
      <c r="T4" s="2">
        <v>813</v>
      </c>
      <c r="U4" s="2">
        <v>1</v>
      </c>
      <c r="V4" s="2">
        <v>11</v>
      </c>
      <c r="W4" s="5">
        <f t="shared" ref="W4:W108" si="2">SUM(S4:V4)</f>
        <v>839</v>
      </c>
      <c r="X4" s="14" t="s">
        <v>69</v>
      </c>
      <c r="Y4" s="14" t="s">
        <v>69</v>
      </c>
      <c r="Z4" s="14" t="s">
        <v>69</v>
      </c>
      <c r="AA4" s="14" t="s">
        <v>69</v>
      </c>
    </row>
    <row r="5" spans="1:27" x14ac:dyDescent="0.2">
      <c r="A5" t="s">
        <v>5</v>
      </c>
      <c r="B5">
        <v>2002</v>
      </c>
      <c r="D5" s="2"/>
      <c r="E5" s="2" t="s">
        <v>2</v>
      </c>
      <c r="F5" s="2" t="s">
        <v>16</v>
      </c>
      <c r="G5" s="2"/>
      <c r="H5" s="2">
        <f>ROUND(G4/2,0)</f>
        <v>617</v>
      </c>
      <c r="I5" s="2"/>
      <c r="J5" s="2">
        <f>ROUND(I4/2,0)</f>
        <v>20</v>
      </c>
      <c r="K5" s="2"/>
      <c r="L5" s="2">
        <f>ROUND(K4/2,0)</f>
        <v>945</v>
      </c>
      <c r="M5" s="2"/>
      <c r="N5" s="2">
        <f>ROUND(M4/2,0)</f>
        <v>750</v>
      </c>
      <c r="O5" s="2"/>
      <c r="P5" s="2">
        <f>ROUND(O4/2,0)</f>
        <v>9</v>
      </c>
      <c r="Q5" s="2"/>
      <c r="R5" s="2">
        <f>ROUND(Q4/2,0)</f>
        <v>1134</v>
      </c>
      <c r="S5" s="2"/>
      <c r="T5" s="2"/>
      <c r="U5" s="2"/>
      <c r="V5" s="2"/>
      <c r="W5" s="5"/>
      <c r="X5" s="14" t="s">
        <v>69</v>
      </c>
      <c r="Y5" s="14" t="s">
        <v>69</v>
      </c>
      <c r="Z5" s="14" t="s">
        <v>69</v>
      </c>
      <c r="AA5" s="14" t="s">
        <v>69</v>
      </c>
    </row>
    <row r="6" spans="1:27" x14ac:dyDescent="0.2">
      <c r="A6" t="s">
        <v>6</v>
      </c>
      <c r="B6">
        <v>2003</v>
      </c>
      <c r="D6" s="2">
        <v>3</v>
      </c>
      <c r="E6" s="2" t="s">
        <v>2</v>
      </c>
      <c r="F6" s="2" t="s">
        <v>16</v>
      </c>
      <c r="G6" s="2">
        <v>1098</v>
      </c>
      <c r="H6" s="2">
        <f>ROUND(G6/2,0)</f>
        <v>549</v>
      </c>
      <c r="I6" s="2">
        <v>39</v>
      </c>
      <c r="J6" s="2">
        <f>ROUND(I6/2,0)</f>
        <v>20</v>
      </c>
      <c r="K6" s="2">
        <f t="shared" si="0"/>
        <v>1686</v>
      </c>
      <c r="L6" s="2">
        <f>ROUND(K6/2,0)</f>
        <v>843</v>
      </c>
      <c r="M6" s="2">
        <v>1304</v>
      </c>
      <c r="N6" s="2">
        <f>ROUND(M6/2,0)</f>
        <v>652</v>
      </c>
      <c r="O6" s="2">
        <v>18</v>
      </c>
      <c r="P6" s="2">
        <f>ROUND(O6/2,0)</f>
        <v>9</v>
      </c>
      <c r="Q6" s="2">
        <f t="shared" si="1"/>
        <v>1974</v>
      </c>
      <c r="R6" s="2">
        <f>ROUND(Q6/2,0)</f>
        <v>987</v>
      </c>
      <c r="S6" s="2">
        <v>12</v>
      </c>
      <c r="T6" s="2">
        <v>692</v>
      </c>
      <c r="U6" s="2">
        <v>1</v>
      </c>
      <c r="V6" s="2">
        <v>18</v>
      </c>
      <c r="W6" s="5">
        <f t="shared" si="2"/>
        <v>723</v>
      </c>
      <c r="X6" s="14" t="s">
        <v>69</v>
      </c>
      <c r="Y6" s="14" t="s">
        <v>69</v>
      </c>
      <c r="Z6" s="14" t="s">
        <v>69</v>
      </c>
      <c r="AA6" s="14" t="s">
        <v>69</v>
      </c>
    </row>
    <row r="7" spans="1:27" x14ac:dyDescent="0.2">
      <c r="A7" t="s">
        <v>6</v>
      </c>
      <c r="B7">
        <v>2004</v>
      </c>
      <c r="D7" s="2"/>
      <c r="E7" s="2" t="s">
        <v>2</v>
      </c>
      <c r="F7" s="2" t="s">
        <v>16</v>
      </c>
      <c r="G7" s="2"/>
      <c r="H7" s="2">
        <f>ROUND(G6/2,0)</f>
        <v>549</v>
      </c>
      <c r="I7" s="2"/>
      <c r="J7" s="2">
        <f>ROUND(I6/2,0)</f>
        <v>20</v>
      </c>
      <c r="K7" s="2"/>
      <c r="L7" s="2">
        <f>ROUND(K6/2,0)</f>
        <v>843</v>
      </c>
      <c r="M7" s="2"/>
      <c r="N7" s="2">
        <f>ROUND(M6/2,0)</f>
        <v>652</v>
      </c>
      <c r="O7" s="2"/>
      <c r="P7" s="2">
        <f>ROUND(O6/2,0)</f>
        <v>9</v>
      </c>
      <c r="Q7" s="2"/>
      <c r="R7" s="2">
        <f>ROUND(Q6/2,0)</f>
        <v>987</v>
      </c>
      <c r="S7" s="2"/>
      <c r="T7" s="2"/>
      <c r="U7" s="2"/>
      <c r="V7" s="2"/>
      <c r="W7" s="5"/>
      <c r="X7" s="14" t="s">
        <v>69</v>
      </c>
      <c r="Y7" s="14" t="s">
        <v>69</v>
      </c>
      <c r="Z7" s="14" t="s">
        <v>69</v>
      </c>
      <c r="AA7" s="14" t="s">
        <v>69</v>
      </c>
    </row>
    <row r="8" spans="1:27" x14ac:dyDescent="0.2">
      <c r="A8" t="s">
        <v>7</v>
      </c>
      <c r="B8">
        <v>2005</v>
      </c>
      <c r="D8" s="2">
        <v>4</v>
      </c>
      <c r="E8" s="2" t="s">
        <v>2</v>
      </c>
      <c r="F8" s="2" t="s">
        <v>16</v>
      </c>
      <c r="G8" s="2">
        <v>1250</v>
      </c>
      <c r="H8" s="2">
        <f>ROUND(G8/2,0)</f>
        <v>625</v>
      </c>
      <c r="I8" s="2">
        <v>32</v>
      </c>
      <c r="J8" s="2">
        <f>ROUND(I8/2,0)</f>
        <v>16</v>
      </c>
      <c r="K8" s="2">
        <f t="shared" si="0"/>
        <v>1907</v>
      </c>
      <c r="L8" s="2">
        <f>ROUND(K8/2,0)</f>
        <v>954</v>
      </c>
      <c r="M8" s="2">
        <v>1452</v>
      </c>
      <c r="N8" s="2">
        <f>ROUND(M8/2,0)</f>
        <v>726</v>
      </c>
      <c r="O8" s="2">
        <v>16</v>
      </c>
      <c r="P8" s="2">
        <f>ROUND(O8/2,0)</f>
        <v>8</v>
      </c>
      <c r="Q8" s="2">
        <f t="shared" si="1"/>
        <v>2194</v>
      </c>
      <c r="R8" s="2">
        <f>ROUND(Q8/2,0)</f>
        <v>1097</v>
      </c>
      <c r="S8" s="2">
        <v>13</v>
      </c>
      <c r="T8" s="2">
        <v>829</v>
      </c>
      <c r="U8" s="2">
        <v>1</v>
      </c>
      <c r="V8" s="2">
        <v>9</v>
      </c>
      <c r="W8" s="5">
        <f t="shared" si="2"/>
        <v>852</v>
      </c>
      <c r="X8" s="14" t="s">
        <v>69</v>
      </c>
      <c r="Y8" s="14" t="s">
        <v>69</v>
      </c>
      <c r="Z8" s="14" t="s">
        <v>69</v>
      </c>
      <c r="AA8" s="14" t="s">
        <v>69</v>
      </c>
    </row>
    <row r="9" spans="1:27" x14ac:dyDescent="0.2">
      <c r="A9" t="s">
        <v>7</v>
      </c>
      <c r="B9">
        <v>2006</v>
      </c>
      <c r="D9" s="2"/>
      <c r="E9" s="2" t="s">
        <v>2</v>
      </c>
      <c r="F9" s="2" t="s">
        <v>16</v>
      </c>
      <c r="G9" s="2"/>
      <c r="H9" s="2">
        <f>ROUND(G8/2,0)</f>
        <v>625</v>
      </c>
      <c r="I9" s="2"/>
      <c r="J9" s="2">
        <f>ROUND(I8/2,0)</f>
        <v>16</v>
      </c>
      <c r="K9" s="2"/>
      <c r="L9" s="2">
        <f>ROUND(K8/2,0)</f>
        <v>954</v>
      </c>
      <c r="M9" s="2"/>
      <c r="N9" s="2">
        <f>ROUND(M8/2,0)</f>
        <v>726</v>
      </c>
      <c r="O9" s="2"/>
      <c r="P9" s="2">
        <f>ROUND(O8/2,0)</f>
        <v>8</v>
      </c>
      <c r="Q9" s="2"/>
      <c r="R9" s="2">
        <f>ROUND(Q8/2,0)</f>
        <v>1097</v>
      </c>
      <c r="S9" s="2"/>
      <c r="T9" s="2"/>
      <c r="U9" s="2"/>
      <c r="V9" s="2"/>
      <c r="W9" s="5"/>
      <c r="X9" s="14" t="s">
        <v>69</v>
      </c>
      <c r="Y9" s="14" t="s">
        <v>69</v>
      </c>
      <c r="Z9" s="14" t="s">
        <v>69</v>
      </c>
      <c r="AA9" s="14" t="s">
        <v>69</v>
      </c>
    </row>
    <row r="10" spans="1:27" x14ac:dyDescent="0.2">
      <c r="A10" t="s">
        <v>8</v>
      </c>
      <c r="B10">
        <v>2007</v>
      </c>
      <c r="D10" s="2">
        <v>5</v>
      </c>
      <c r="E10" s="2" t="s">
        <v>2</v>
      </c>
      <c r="F10" s="2" t="s">
        <v>16</v>
      </c>
      <c r="G10" s="2">
        <v>997</v>
      </c>
      <c r="H10" s="2">
        <f>ROUND(G10/2,0)</f>
        <v>499</v>
      </c>
      <c r="I10" s="2">
        <v>31</v>
      </c>
      <c r="J10" s="2">
        <f>ROUND(I10/2,0)</f>
        <v>16</v>
      </c>
      <c r="K10" s="2">
        <f t="shared" si="0"/>
        <v>1527</v>
      </c>
      <c r="L10" s="2">
        <f>ROUND(K10/2,0)</f>
        <v>764</v>
      </c>
      <c r="M10" s="2">
        <v>1556</v>
      </c>
      <c r="N10" s="2">
        <f>ROUND(M10/2,0)</f>
        <v>778</v>
      </c>
      <c r="O10" s="2">
        <v>15</v>
      </c>
      <c r="P10" s="2">
        <f>ROUND(O10/2,0)</f>
        <v>8</v>
      </c>
      <c r="Q10" s="2">
        <f t="shared" si="1"/>
        <v>2349</v>
      </c>
      <c r="R10" s="2">
        <f>ROUND(Q10/2,0)</f>
        <v>1175</v>
      </c>
      <c r="S10" s="2">
        <v>13</v>
      </c>
      <c r="T10" s="2">
        <v>740</v>
      </c>
      <c r="U10" s="3">
        <v>0</v>
      </c>
      <c r="V10" s="2">
        <v>19</v>
      </c>
      <c r="W10" s="5">
        <f t="shared" si="2"/>
        <v>772</v>
      </c>
      <c r="X10" s="14" t="s">
        <v>69</v>
      </c>
      <c r="Y10" s="14" t="s">
        <v>69</v>
      </c>
      <c r="Z10" s="14" t="s">
        <v>69</v>
      </c>
      <c r="AA10" s="14" t="s">
        <v>69</v>
      </c>
    </row>
    <row r="11" spans="1:27" x14ac:dyDescent="0.2">
      <c r="A11" t="s">
        <v>8</v>
      </c>
      <c r="B11">
        <v>2008</v>
      </c>
      <c r="D11" s="2"/>
      <c r="E11" s="2" t="s">
        <v>2</v>
      </c>
      <c r="F11" s="2" t="s">
        <v>16</v>
      </c>
      <c r="G11" s="2"/>
      <c r="H11" s="2">
        <f>ROUND(G10/2,0)</f>
        <v>499</v>
      </c>
      <c r="I11" s="2"/>
      <c r="J11" s="2">
        <f>ROUND(I10/2,0)</f>
        <v>16</v>
      </c>
      <c r="K11" s="2"/>
      <c r="L11" s="2">
        <f>ROUND(K10/2,0)</f>
        <v>764</v>
      </c>
      <c r="M11" s="2"/>
      <c r="N11" s="2">
        <f>ROUND(M10/2,0)</f>
        <v>778</v>
      </c>
      <c r="O11" s="2"/>
      <c r="P11" s="2">
        <f>ROUND(O10/2,0)</f>
        <v>8</v>
      </c>
      <c r="Q11" s="2"/>
      <c r="R11" s="2">
        <f>ROUND(Q10/2,0)</f>
        <v>1175</v>
      </c>
      <c r="S11" s="2"/>
      <c r="T11" s="2"/>
      <c r="U11" s="3"/>
      <c r="V11" s="2"/>
      <c r="W11" s="5"/>
      <c r="X11" s="14" t="s">
        <v>69</v>
      </c>
      <c r="Y11" s="14" t="s">
        <v>69</v>
      </c>
      <c r="Z11" s="14" t="s">
        <v>69</v>
      </c>
      <c r="AA11" s="14" t="s">
        <v>69</v>
      </c>
    </row>
    <row r="12" spans="1:27" x14ac:dyDescent="0.2">
      <c r="A12" t="s">
        <v>11</v>
      </c>
      <c r="B12">
        <v>2009</v>
      </c>
      <c r="D12" s="2">
        <v>6</v>
      </c>
      <c r="E12" s="2" t="s">
        <v>2</v>
      </c>
      <c r="F12" s="2" t="s">
        <v>16</v>
      </c>
      <c r="G12" s="2">
        <v>1163</v>
      </c>
      <c r="H12" s="2">
        <f>ROUND(G12/2,0)</f>
        <v>582</v>
      </c>
      <c r="I12" s="2">
        <v>29</v>
      </c>
      <c r="J12" s="2">
        <f>ROUND(I12/2,0)</f>
        <v>15</v>
      </c>
      <c r="K12" s="2">
        <f t="shared" si="0"/>
        <v>1774</v>
      </c>
      <c r="L12" s="2">
        <f>ROUND(K12/2,0)</f>
        <v>887</v>
      </c>
      <c r="M12" s="2">
        <v>1741</v>
      </c>
      <c r="N12" s="2">
        <f>ROUND(M12/2,0)</f>
        <v>871</v>
      </c>
      <c r="O12" s="2">
        <v>26</v>
      </c>
      <c r="P12" s="2">
        <f>ROUND(O12/2,0)</f>
        <v>13</v>
      </c>
      <c r="Q12" s="2">
        <f t="shared" si="1"/>
        <v>2638</v>
      </c>
      <c r="R12" s="2">
        <f>ROUND(Q12/2,0)</f>
        <v>1319</v>
      </c>
      <c r="S12" s="2">
        <v>20</v>
      </c>
      <c r="T12" s="2">
        <v>879</v>
      </c>
      <c r="U12" s="2">
        <v>2</v>
      </c>
      <c r="V12" s="2">
        <v>25</v>
      </c>
      <c r="W12" s="5">
        <f t="shared" si="2"/>
        <v>926</v>
      </c>
      <c r="X12" s="14" t="s">
        <v>69</v>
      </c>
      <c r="Y12" s="14" t="s">
        <v>69</v>
      </c>
      <c r="Z12" s="14" t="s">
        <v>69</v>
      </c>
      <c r="AA12" s="14" t="s">
        <v>69</v>
      </c>
    </row>
    <row r="13" spans="1:27" x14ac:dyDescent="0.2">
      <c r="A13" t="s">
        <v>11</v>
      </c>
      <c r="B13">
        <v>2010</v>
      </c>
      <c r="D13" s="2"/>
      <c r="E13" s="2" t="s">
        <v>2</v>
      </c>
      <c r="F13" s="2" t="s">
        <v>16</v>
      </c>
      <c r="G13" s="2"/>
      <c r="H13" s="2">
        <f>ROUND(G12/2,0)</f>
        <v>582</v>
      </c>
      <c r="I13" s="2"/>
      <c r="J13" s="2">
        <f>ROUND(I12/2,0)</f>
        <v>15</v>
      </c>
      <c r="K13" s="2"/>
      <c r="L13" s="2">
        <f>ROUND(K12/2,0)</f>
        <v>887</v>
      </c>
      <c r="M13" s="2"/>
      <c r="N13" s="2">
        <f>ROUND(M12/2,0)</f>
        <v>871</v>
      </c>
      <c r="O13" s="2"/>
      <c r="P13" s="2">
        <f>ROUND(O12/2,0)</f>
        <v>13</v>
      </c>
      <c r="Q13" s="2"/>
      <c r="R13" s="2">
        <f>ROUND(Q12/2,0)</f>
        <v>1319</v>
      </c>
      <c r="S13" s="2"/>
      <c r="T13" s="2"/>
      <c r="U13" s="2"/>
      <c r="V13" s="2"/>
      <c r="W13" s="5"/>
      <c r="X13" s="14" t="s">
        <v>69</v>
      </c>
      <c r="Y13" s="14" t="s">
        <v>69</v>
      </c>
      <c r="Z13" s="14" t="s">
        <v>69</v>
      </c>
      <c r="AA13" s="14" t="s">
        <v>69</v>
      </c>
    </row>
    <row r="14" spans="1:27" x14ac:dyDescent="0.2">
      <c r="A14" t="s">
        <v>12</v>
      </c>
      <c r="B14">
        <v>2011</v>
      </c>
      <c r="D14" s="2">
        <v>7</v>
      </c>
      <c r="E14" s="2" t="s">
        <v>2</v>
      </c>
      <c r="F14" s="2" t="s">
        <v>16</v>
      </c>
      <c r="G14" s="2">
        <v>1021</v>
      </c>
      <c r="H14" s="2">
        <f>ROUND(G14/2,0)</f>
        <v>511</v>
      </c>
      <c r="I14" s="2">
        <v>28</v>
      </c>
      <c r="J14" s="2">
        <f>ROUND(I14/2,0)</f>
        <v>14</v>
      </c>
      <c r="K14" s="2">
        <f t="shared" si="0"/>
        <v>1560</v>
      </c>
      <c r="L14" s="2">
        <f>ROUND(K14/2,0)</f>
        <v>780</v>
      </c>
      <c r="M14" s="2">
        <v>1511</v>
      </c>
      <c r="N14" s="2">
        <f>ROUND(M14/2,0)</f>
        <v>756</v>
      </c>
      <c r="O14" s="2">
        <v>34</v>
      </c>
      <c r="P14" s="2">
        <f>ROUND(O14/2,0)</f>
        <v>17</v>
      </c>
      <c r="Q14" s="2">
        <f t="shared" si="1"/>
        <v>2301</v>
      </c>
      <c r="R14" s="2">
        <f>ROUND(Q14/2,0)</f>
        <v>1151</v>
      </c>
      <c r="S14" s="2">
        <v>29</v>
      </c>
      <c r="T14" s="2">
        <v>764</v>
      </c>
      <c r="U14" s="3">
        <v>0</v>
      </c>
      <c r="V14" s="2">
        <v>21</v>
      </c>
      <c r="W14" s="5">
        <f t="shared" si="2"/>
        <v>814</v>
      </c>
      <c r="X14" s="14" t="s">
        <v>69</v>
      </c>
      <c r="Y14" s="14" t="s">
        <v>69</v>
      </c>
      <c r="Z14" s="14" t="s">
        <v>69</v>
      </c>
      <c r="AA14" s="14" t="s">
        <v>69</v>
      </c>
    </row>
    <row r="15" spans="1:27" x14ac:dyDescent="0.2">
      <c r="A15" t="s">
        <v>12</v>
      </c>
      <c r="B15">
        <v>2012</v>
      </c>
      <c r="D15" s="2"/>
      <c r="E15" s="2" t="s">
        <v>2</v>
      </c>
      <c r="F15" s="2" t="s">
        <v>16</v>
      </c>
      <c r="G15" s="2"/>
      <c r="H15" s="2">
        <f>ROUND(G14/2,0)</f>
        <v>511</v>
      </c>
      <c r="I15" s="2"/>
      <c r="J15" s="2">
        <f>ROUND(I14/2,0)</f>
        <v>14</v>
      </c>
      <c r="K15" s="2"/>
      <c r="L15" s="2">
        <f>ROUND(K14/2,0)</f>
        <v>780</v>
      </c>
      <c r="M15" s="2"/>
      <c r="N15" s="2">
        <f>ROUND(M14/2,0)</f>
        <v>756</v>
      </c>
      <c r="O15" s="2"/>
      <c r="P15" s="2">
        <f>ROUND(O14/2,0)</f>
        <v>17</v>
      </c>
      <c r="Q15" s="2"/>
      <c r="R15" s="2">
        <f>ROUND(Q14/2,0)</f>
        <v>1151</v>
      </c>
      <c r="S15" s="2"/>
      <c r="T15" s="2"/>
      <c r="U15" s="3"/>
      <c r="V15" s="2"/>
      <c r="W15" s="5"/>
      <c r="X15" s="14" t="s">
        <v>69</v>
      </c>
      <c r="Y15" s="14" t="s">
        <v>69</v>
      </c>
      <c r="Z15" s="14" t="s">
        <v>69</v>
      </c>
      <c r="AA15" s="14" t="s">
        <v>69</v>
      </c>
    </row>
    <row r="16" spans="1:27" x14ac:dyDescent="0.2">
      <c r="A16" t="s">
        <v>13</v>
      </c>
      <c r="B16">
        <v>2013</v>
      </c>
      <c r="D16" s="2">
        <v>8</v>
      </c>
      <c r="E16" s="2" t="s">
        <v>2</v>
      </c>
      <c r="F16" s="2" t="s">
        <v>16</v>
      </c>
      <c r="G16" s="2">
        <v>1092</v>
      </c>
      <c r="H16" s="2">
        <f>ROUND(G16/2,0)</f>
        <v>546</v>
      </c>
      <c r="I16" s="2">
        <v>33</v>
      </c>
      <c r="J16" s="2">
        <f>ROUND(I16/2,0)</f>
        <v>17</v>
      </c>
      <c r="K16" s="2">
        <f t="shared" si="0"/>
        <v>1671</v>
      </c>
      <c r="L16" s="2">
        <f>ROUND(K16/2,0)</f>
        <v>836</v>
      </c>
      <c r="M16" s="2">
        <v>1761</v>
      </c>
      <c r="N16" s="2">
        <f>ROUND(M16/2,0)</f>
        <v>881</v>
      </c>
      <c r="O16" s="2">
        <v>34</v>
      </c>
      <c r="P16" s="2">
        <f>ROUND(O16/2,0)</f>
        <v>17</v>
      </c>
      <c r="Q16" s="2">
        <f t="shared" si="1"/>
        <v>2676</v>
      </c>
      <c r="R16" s="2">
        <f>ROUND(Q16/2,0)</f>
        <v>1338</v>
      </c>
      <c r="S16" s="2">
        <v>26</v>
      </c>
      <c r="T16" s="2">
        <v>866</v>
      </c>
      <c r="U16" s="2">
        <v>1</v>
      </c>
      <c r="V16" s="2">
        <v>29</v>
      </c>
      <c r="W16" s="5">
        <f t="shared" si="2"/>
        <v>922</v>
      </c>
      <c r="X16" s="14" t="s">
        <v>69</v>
      </c>
      <c r="Y16" s="14" t="s">
        <v>69</v>
      </c>
      <c r="Z16" s="14" t="s">
        <v>69</v>
      </c>
      <c r="AA16" s="14" t="s">
        <v>69</v>
      </c>
    </row>
    <row r="17" spans="1:27" x14ac:dyDescent="0.2">
      <c r="A17" t="s">
        <v>13</v>
      </c>
      <c r="B17">
        <v>2014</v>
      </c>
      <c r="D17" s="2"/>
      <c r="E17" s="2" t="s">
        <v>2</v>
      </c>
      <c r="F17" s="2" t="s">
        <v>16</v>
      </c>
      <c r="G17" s="2"/>
      <c r="H17" s="2">
        <f>ROUND(G16/2,0)</f>
        <v>546</v>
      </c>
      <c r="I17" s="2"/>
      <c r="J17" s="2">
        <f>ROUND(I16/2,0)</f>
        <v>17</v>
      </c>
      <c r="K17" s="2"/>
      <c r="L17" s="2">
        <f>ROUND(K16/2,0)</f>
        <v>836</v>
      </c>
      <c r="M17" s="2"/>
      <c r="N17" s="2">
        <f>ROUND(M16/2,0)</f>
        <v>881</v>
      </c>
      <c r="O17" s="2"/>
      <c r="P17" s="2">
        <f>ROUND(O16/2,0)</f>
        <v>17</v>
      </c>
      <c r="Q17" s="2"/>
      <c r="R17" s="2">
        <f>ROUND(Q16/2,0)</f>
        <v>1338</v>
      </c>
      <c r="S17" s="2"/>
      <c r="T17" s="2"/>
      <c r="U17" s="2"/>
      <c r="V17" s="2"/>
      <c r="W17" s="5"/>
      <c r="X17" s="14" t="s">
        <v>69</v>
      </c>
      <c r="Y17" s="14" t="s">
        <v>69</v>
      </c>
      <c r="Z17" s="14" t="s">
        <v>69</v>
      </c>
      <c r="AA17" s="14" t="s">
        <v>69</v>
      </c>
    </row>
    <row r="18" spans="1:27" x14ac:dyDescent="0.2">
      <c r="A18" t="s">
        <v>14</v>
      </c>
      <c r="B18">
        <v>2015</v>
      </c>
      <c r="D18" s="2">
        <v>9</v>
      </c>
      <c r="E18" s="2" t="s">
        <v>2</v>
      </c>
      <c r="F18" s="2" t="s">
        <v>16</v>
      </c>
      <c r="G18" s="2">
        <v>1051</v>
      </c>
      <c r="H18" s="2">
        <f>ROUND(G18/2,0)</f>
        <v>526</v>
      </c>
      <c r="I18" s="2">
        <v>19</v>
      </c>
      <c r="J18" s="2">
        <f>ROUND(I18/2,0)</f>
        <v>10</v>
      </c>
      <c r="K18" s="2">
        <f t="shared" si="0"/>
        <v>1596</v>
      </c>
      <c r="L18" s="2">
        <f>ROUND(K18/2,0)</f>
        <v>798</v>
      </c>
      <c r="M18" s="2">
        <v>1644</v>
      </c>
      <c r="N18" s="2">
        <f>ROUND(M18/2,0)</f>
        <v>822</v>
      </c>
      <c r="O18" s="2">
        <v>25</v>
      </c>
      <c r="P18" s="2">
        <f>ROUND(O18/2,0)</f>
        <v>13</v>
      </c>
      <c r="Q18" s="2">
        <f t="shared" si="1"/>
        <v>2491</v>
      </c>
      <c r="R18" s="2">
        <f>ROUND(Q18/2,0)</f>
        <v>1246</v>
      </c>
      <c r="S18" s="2">
        <v>21</v>
      </c>
      <c r="T18" s="2">
        <v>812</v>
      </c>
      <c r="U18" s="3">
        <v>0</v>
      </c>
      <c r="V18" s="2">
        <v>15</v>
      </c>
      <c r="W18" s="5">
        <f t="shared" si="2"/>
        <v>848</v>
      </c>
      <c r="X18" s="14" t="s">
        <v>69</v>
      </c>
      <c r="Y18" s="14" t="s">
        <v>69</v>
      </c>
      <c r="Z18" s="14" t="s">
        <v>69</v>
      </c>
      <c r="AA18" s="14" t="s">
        <v>69</v>
      </c>
    </row>
    <row r="19" spans="1:27" x14ac:dyDescent="0.2">
      <c r="A19" t="s">
        <v>14</v>
      </c>
      <c r="B19">
        <v>2016</v>
      </c>
      <c r="D19" s="2"/>
      <c r="E19" s="2" t="s">
        <v>2</v>
      </c>
      <c r="F19" s="2" t="s">
        <v>16</v>
      </c>
      <c r="G19" s="2"/>
      <c r="H19" s="2">
        <f>ROUND(G18/2,0)</f>
        <v>526</v>
      </c>
      <c r="I19" s="2"/>
      <c r="J19" s="2">
        <f>ROUND(I18/2,0)</f>
        <v>10</v>
      </c>
      <c r="K19" s="2"/>
      <c r="L19" s="2">
        <f>ROUND(K18/2,0)</f>
        <v>798</v>
      </c>
      <c r="M19" s="2"/>
      <c r="N19" s="2">
        <f>ROUND(M18/2,0)</f>
        <v>822</v>
      </c>
      <c r="O19" s="2"/>
      <c r="P19" s="2">
        <f>ROUND(O18/2,0)</f>
        <v>13</v>
      </c>
      <c r="Q19" s="2"/>
      <c r="R19" s="2">
        <f>ROUND(Q18/2,0)</f>
        <v>1246</v>
      </c>
      <c r="S19" s="2"/>
      <c r="T19" s="2"/>
      <c r="U19" s="3"/>
      <c r="V19" s="2"/>
      <c r="W19" s="5"/>
      <c r="X19" s="14" t="s">
        <v>69</v>
      </c>
      <c r="Y19" s="14" t="s">
        <v>69</v>
      </c>
      <c r="Z19" s="14" t="s">
        <v>69</v>
      </c>
      <c r="AA19" s="14" t="s">
        <v>69</v>
      </c>
    </row>
    <row r="20" spans="1:27" x14ac:dyDescent="0.2">
      <c r="A20" t="s">
        <v>4</v>
      </c>
      <c r="B20">
        <v>1999</v>
      </c>
      <c r="D20" s="2">
        <v>1</v>
      </c>
      <c r="E20" s="2" t="s">
        <v>3</v>
      </c>
      <c r="F20" s="2" t="s">
        <v>16</v>
      </c>
      <c r="G20" s="2">
        <v>866</v>
      </c>
      <c r="H20" s="2">
        <f>ROUND(G20/2,0)</f>
        <v>433</v>
      </c>
      <c r="I20" s="2">
        <v>39</v>
      </c>
      <c r="J20" s="2">
        <f>ROUND(I20/2,0)</f>
        <v>20</v>
      </c>
      <c r="K20" s="2">
        <f t="shared" si="0"/>
        <v>1338</v>
      </c>
      <c r="L20" s="2">
        <f>ROUND(K20/2,0)</f>
        <v>669</v>
      </c>
      <c r="M20" s="2">
        <v>1078</v>
      </c>
      <c r="N20" s="2">
        <f>ROUND(M20/2,0)</f>
        <v>539</v>
      </c>
      <c r="O20" s="2">
        <v>7</v>
      </c>
      <c r="P20" s="2">
        <f>ROUND(O20/2,0)</f>
        <v>4</v>
      </c>
      <c r="Q20" s="2">
        <f t="shared" si="1"/>
        <v>1624</v>
      </c>
      <c r="R20" s="2">
        <f>ROUND(Q20/2,0)</f>
        <v>812</v>
      </c>
      <c r="S20" s="2">
        <v>3</v>
      </c>
      <c r="T20" s="2">
        <v>537</v>
      </c>
      <c r="U20" s="3">
        <v>0</v>
      </c>
      <c r="V20" s="2">
        <v>13</v>
      </c>
      <c r="W20" s="5">
        <f t="shared" si="2"/>
        <v>553</v>
      </c>
      <c r="X20" s="14" t="s">
        <v>69</v>
      </c>
      <c r="Y20" s="14" t="s">
        <v>69</v>
      </c>
      <c r="Z20" s="14" t="s">
        <v>69</v>
      </c>
      <c r="AA20" s="14" t="s">
        <v>69</v>
      </c>
    </row>
    <row r="21" spans="1:27" x14ac:dyDescent="0.2">
      <c r="A21" t="s">
        <v>4</v>
      </c>
      <c r="B21">
        <v>2000</v>
      </c>
      <c r="D21" s="2"/>
      <c r="E21" s="2" t="s">
        <v>3</v>
      </c>
      <c r="F21" s="2" t="s">
        <v>16</v>
      </c>
      <c r="G21" s="2"/>
      <c r="H21" s="2">
        <f>ROUND(G20/2,0)</f>
        <v>433</v>
      </c>
      <c r="I21" s="2"/>
      <c r="J21" s="2">
        <f>ROUND(I20/2,0)</f>
        <v>20</v>
      </c>
      <c r="K21" s="2"/>
      <c r="L21" s="2">
        <f>ROUND(K20/2,0)</f>
        <v>669</v>
      </c>
      <c r="M21" s="2"/>
      <c r="N21" s="2">
        <f>ROUND(M20/2,0)</f>
        <v>539</v>
      </c>
      <c r="O21" s="2"/>
      <c r="P21" s="2">
        <f>ROUND(O20/2,0)</f>
        <v>4</v>
      </c>
      <c r="Q21" s="2"/>
      <c r="R21" s="2">
        <f>ROUND(Q20/2,0)</f>
        <v>812</v>
      </c>
      <c r="S21" s="2"/>
      <c r="T21" s="2"/>
      <c r="U21" s="3"/>
      <c r="V21" s="2"/>
      <c r="W21" s="5"/>
      <c r="X21" s="14" t="s">
        <v>69</v>
      </c>
      <c r="Y21" s="14" t="s">
        <v>69</v>
      </c>
      <c r="Z21" s="14" t="s">
        <v>69</v>
      </c>
      <c r="AA21" s="14" t="s">
        <v>69</v>
      </c>
    </row>
    <row r="22" spans="1:27" x14ac:dyDescent="0.2">
      <c r="A22" t="s">
        <v>5</v>
      </c>
      <c r="B22">
        <v>2001</v>
      </c>
      <c r="D22" s="2">
        <v>2</v>
      </c>
      <c r="E22" s="2" t="s">
        <v>3</v>
      </c>
      <c r="F22" s="2" t="s">
        <v>16</v>
      </c>
      <c r="G22" s="2">
        <v>1014</v>
      </c>
      <c r="H22" s="2">
        <f>ROUND(G22/2,0)</f>
        <v>507</v>
      </c>
      <c r="I22" s="2">
        <v>28</v>
      </c>
      <c r="J22" s="2">
        <f>ROUND(I22/2,0)</f>
        <v>14</v>
      </c>
      <c r="K22" s="2">
        <f t="shared" si="0"/>
        <v>1549</v>
      </c>
      <c r="L22" s="2">
        <f>ROUND(K22/2,0)</f>
        <v>775</v>
      </c>
      <c r="M22" s="2">
        <v>1385</v>
      </c>
      <c r="N22" s="2">
        <f>ROUND(M22/2,0)</f>
        <v>693</v>
      </c>
      <c r="O22" s="2">
        <v>7</v>
      </c>
      <c r="P22" s="2">
        <f>ROUND(O22/2,0)</f>
        <v>4</v>
      </c>
      <c r="Q22" s="2">
        <f t="shared" si="1"/>
        <v>2085</v>
      </c>
      <c r="R22" s="2">
        <f>ROUND(Q22/2,0)</f>
        <v>1043</v>
      </c>
      <c r="S22" s="2">
        <v>6</v>
      </c>
      <c r="T22" s="2">
        <v>626</v>
      </c>
      <c r="U22" s="3">
        <v>0</v>
      </c>
      <c r="V22" s="2">
        <v>17</v>
      </c>
      <c r="W22" s="5">
        <f t="shared" si="2"/>
        <v>649</v>
      </c>
      <c r="X22" s="14" t="s">
        <v>69</v>
      </c>
      <c r="Y22" s="14" t="s">
        <v>69</v>
      </c>
      <c r="Z22" s="14" t="s">
        <v>69</v>
      </c>
      <c r="AA22" s="14" t="s">
        <v>69</v>
      </c>
    </row>
    <row r="23" spans="1:27" x14ac:dyDescent="0.2">
      <c r="A23" t="s">
        <v>5</v>
      </c>
      <c r="B23">
        <v>2002</v>
      </c>
      <c r="D23" s="2"/>
      <c r="E23" s="2" t="s">
        <v>3</v>
      </c>
      <c r="F23" s="2" t="s">
        <v>16</v>
      </c>
      <c r="G23" s="2"/>
      <c r="H23" s="2">
        <f>ROUND(G22/2,0)</f>
        <v>507</v>
      </c>
      <c r="I23" s="2"/>
      <c r="J23" s="2">
        <f>ROUND(I22/2,0)</f>
        <v>14</v>
      </c>
      <c r="K23" s="2"/>
      <c r="L23" s="2">
        <f>ROUND(K22/2,0)</f>
        <v>775</v>
      </c>
      <c r="M23" s="2"/>
      <c r="N23" s="2">
        <f>ROUND(M22/2,0)</f>
        <v>693</v>
      </c>
      <c r="O23" s="2"/>
      <c r="P23" s="2">
        <f>ROUND(O22/2,0)</f>
        <v>4</v>
      </c>
      <c r="Q23" s="2"/>
      <c r="R23" s="2">
        <f>ROUND(Q22/2,0)</f>
        <v>1043</v>
      </c>
      <c r="S23" s="2"/>
      <c r="T23" s="2"/>
      <c r="U23" s="3"/>
      <c r="V23" s="2"/>
      <c r="W23" s="5"/>
      <c r="X23" s="14" t="s">
        <v>69</v>
      </c>
      <c r="Y23" s="14" t="s">
        <v>69</v>
      </c>
      <c r="Z23" s="14" t="s">
        <v>69</v>
      </c>
      <c r="AA23" s="14" t="s">
        <v>69</v>
      </c>
    </row>
    <row r="24" spans="1:27" x14ac:dyDescent="0.2">
      <c r="A24" t="s">
        <v>6</v>
      </c>
      <c r="B24">
        <v>2003</v>
      </c>
      <c r="D24" s="2">
        <v>3</v>
      </c>
      <c r="E24" s="2" t="s">
        <v>3</v>
      </c>
      <c r="F24" s="2" t="s">
        <v>16</v>
      </c>
      <c r="G24" s="2">
        <v>963</v>
      </c>
      <c r="H24" s="2">
        <f>ROUND(G24/2,0)</f>
        <v>482</v>
      </c>
      <c r="I24" s="2">
        <v>28</v>
      </c>
      <c r="J24" s="2">
        <f>ROUND(I24/2,0)</f>
        <v>14</v>
      </c>
      <c r="K24" s="2">
        <f t="shared" si="0"/>
        <v>1473</v>
      </c>
      <c r="L24" s="2">
        <f>ROUND(K24/2,0)</f>
        <v>737</v>
      </c>
      <c r="M24" s="2">
        <v>1212</v>
      </c>
      <c r="N24" s="2">
        <f>ROUND(M24/2,0)</f>
        <v>606</v>
      </c>
      <c r="O24" s="2">
        <v>5</v>
      </c>
      <c r="P24" s="2">
        <f>ROUND(O24/2,0)</f>
        <v>3</v>
      </c>
      <c r="Q24" s="2">
        <f t="shared" si="1"/>
        <v>1823</v>
      </c>
      <c r="R24" s="2">
        <f>ROUND(Q24/2,0)</f>
        <v>912</v>
      </c>
      <c r="S24" s="2">
        <v>5</v>
      </c>
      <c r="T24" s="2">
        <v>623</v>
      </c>
      <c r="U24" s="3">
        <v>0</v>
      </c>
      <c r="V24" s="2">
        <v>12</v>
      </c>
      <c r="W24" s="5">
        <f t="shared" si="2"/>
        <v>640</v>
      </c>
      <c r="X24" s="14" t="s">
        <v>69</v>
      </c>
      <c r="Y24" s="14" t="s">
        <v>69</v>
      </c>
      <c r="Z24" s="14" t="s">
        <v>69</v>
      </c>
      <c r="AA24" s="14" t="s">
        <v>69</v>
      </c>
    </row>
    <row r="25" spans="1:27" x14ac:dyDescent="0.2">
      <c r="A25" t="s">
        <v>6</v>
      </c>
      <c r="B25">
        <v>2004</v>
      </c>
      <c r="D25" s="2"/>
      <c r="E25" s="2" t="s">
        <v>3</v>
      </c>
      <c r="F25" s="2" t="s">
        <v>16</v>
      </c>
      <c r="G25" s="2"/>
      <c r="H25" s="2">
        <f>ROUND(G24/2,0)</f>
        <v>482</v>
      </c>
      <c r="I25" s="2"/>
      <c r="J25" s="2">
        <f>ROUND(I24/2,0)</f>
        <v>14</v>
      </c>
      <c r="K25" s="2"/>
      <c r="L25" s="2">
        <f>ROUND(K24/2,0)</f>
        <v>737</v>
      </c>
      <c r="M25" s="2"/>
      <c r="N25" s="2">
        <f>ROUND(M24/2,0)</f>
        <v>606</v>
      </c>
      <c r="O25" s="2"/>
      <c r="P25" s="2">
        <f>ROUND(O24/2,0)</f>
        <v>3</v>
      </c>
      <c r="Q25" s="2"/>
      <c r="R25" s="2">
        <f>ROUND(Q24/2,0)</f>
        <v>912</v>
      </c>
      <c r="S25" s="2"/>
      <c r="T25" s="2"/>
      <c r="U25" s="3"/>
      <c r="V25" s="2"/>
      <c r="W25" s="5"/>
      <c r="X25" s="14" t="s">
        <v>69</v>
      </c>
      <c r="Y25" s="14" t="s">
        <v>69</v>
      </c>
      <c r="Z25" s="14" t="s">
        <v>69</v>
      </c>
      <c r="AA25" s="14" t="s">
        <v>69</v>
      </c>
    </row>
    <row r="26" spans="1:27" x14ac:dyDescent="0.2">
      <c r="A26" t="s">
        <v>7</v>
      </c>
      <c r="B26">
        <v>2005</v>
      </c>
      <c r="D26" s="2">
        <v>4</v>
      </c>
      <c r="E26" s="2" t="s">
        <v>3</v>
      </c>
      <c r="F26" s="2" t="s">
        <v>16</v>
      </c>
      <c r="G26" s="2">
        <v>1006</v>
      </c>
      <c r="H26" s="2">
        <f>ROUND(G26/2,0)</f>
        <v>503</v>
      </c>
      <c r="I26" s="2">
        <v>31</v>
      </c>
      <c r="J26" s="2">
        <f>ROUND(I26/2,0)</f>
        <v>16</v>
      </c>
      <c r="K26" s="2">
        <f t="shared" si="0"/>
        <v>1540</v>
      </c>
      <c r="L26" s="2">
        <f>ROUND(K26/2,0)</f>
        <v>770</v>
      </c>
      <c r="M26" s="2">
        <v>1126</v>
      </c>
      <c r="N26" s="2">
        <f>ROUND(M26/2,0)</f>
        <v>563</v>
      </c>
      <c r="O26" s="2">
        <v>15</v>
      </c>
      <c r="P26" s="2">
        <f>ROUND(O26/2,0)</f>
        <v>8</v>
      </c>
      <c r="Q26" s="2">
        <f t="shared" si="1"/>
        <v>1704</v>
      </c>
      <c r="R26" s="2">
        <f>ROUND(Q26/2,0)</f>
        <v>852</v>
      </c>
      <c r="S26" s="2">
        <v>9</v>
      </c>
      <c r="T26" s="2">
        <v>578</v>
      </c>
      <c r="U26" s="2">
        <v>1</v>
      </c>
      <c r="V26" s="2">
        <v>13</v>
      </c>
      <c r="W26" s="5">
        <f t="shared" si="2"/>
        <v>601</v>
      </c>
      <c r="X26" s="14" t="s">
        <v>69</v>
      </c>
      <c r="Y26" s="14" t="s">
        <v>69</v>
      </c>
      <c r="Z26" s="14" t="s">
        <v>69</v>
      </c>
      <c r="AA26" s="14" t="s">
        <v>69</v>
      </c>
    </row>
    <row r="27" spans="1:27" x14ac:dyDescent="0.2">
      <c r="A27" t="s">
        <v>7</v>
      </c>
      <c r="B27">
        <v>2006</v>
      </c>
      <c r="D27" s="2"/>
      <c r="E27" s="2" t="s">
        <v>3</v>
      </c>
      <c r="F27" s="2" t="s">
        <v>16</v>
      </c>
      <c r="G27" s="2"/>
      <c r="H27" s="2">
        <f>ROUND(G26/2,0)</f>
        <v>503</v>
      </c>
      <c r="I27" s="2"/>
      <c r="J27" s="2">
        <f>ROUND(I26/2,0)</f>
        <v>16</v>
      </c>
      <c r="K27" s="2"/>
      <c r="L27" s="2">
        <f>ROUND(K26/2,0)</f>
        <v>770</v>
      </c>
      <c r="M27" s="2"/>
      <c r="N27" s="2">
        <f>ROUND(M26/2,0)</f>
        <v>563</v>
      </c>
      <c r="O27" s="2"/>
      <c r="P27" s="2">
        <f>ROUND(O26/2,0)</f>
        <v>8</v>
      </c>
      <c r="Q27" s="2"/>
      <c r="R27" s="2">
        <f>ROUND(Q26/2,0)</f>
        <v>852</v>
      </c>
      <c r="S27" s="2"/>
      <c r="T27" s="2"/>
      <c r="U27" s="2"/>
      <c r="V27" s="2"/>
      <c r="W27" s="5"/>
      <c r="X27" s="14" t="s">
        <v>69</v>
      </c>
      <c r="Y27" s="14" t="s">
        <v>69</v>
      </c>
      <c r="Z27" s="14" t="s">
        <v>69</v>
      </c>
      <c r="AA27" s="14" t="s">
        <v>69</v>
      </c>
    </row>
    <row r="28" spans="1:27" x14ac:dyDescent="0.2">
      <c r="A28" t="s">
        <v>8</v>
      </c>
      <c r="B28">
        <v>2007</v>
      </c>
      <c r="D28" s="2">
        <v>5</v>
      </c>
      <c r="E28" s="2" t="s">
        <v>3</v>
      </c>
      <c r="F28" s="2" t="s">
        <v>16</v>
      </c>
      <c r="G28" s="2">
        <v>1002</v>
      </c>
      <c r="H28" s="2">
        <f>ROUND(G28/2,0)</f>
        <v>501</v>
      </c>
      <c r="I28" s="2">
        <v>22</v>
      </c>
      <c r="J28" s="2">
        <f>ROUND(I28/2,0)</f>
        <v>11</v>
      </c>
      <c r="K28" s="2">
        <f t="shared" si="0"/>
        <v>1525</v>
      </c>
      <c r="L28" s="2">
        <f>ROUND(K28/2,0)</f>
        <v>763</v>
      </c>
      <c r="M28" s="2">
        <v>1386</v>
      </c>
      <c r="N28" s="2">
        <f>ROUND(M28/2,0)</f>
        <v>693</v>
      </c>
      <c r="O28" s="2">
        <v>16</v>
      </c>
      <c r="P28" s="2">
        <f>ROUND(O28/2,0)</f>
        <v>8</v>
      </c>
      <c r="Q28" s="2">
        <f t="shared" si="1"/>
        <v>2095</v>
      </c>
      <c r="R28" s="2">
        <f>ROUND(Q28/2,0)</f>
        <v>1048</v>
      </c>
      <c r="S28" s="2">
        <v>12</v>
      </c>
      <c r="T28" s="2">
        <v>690</v>
      </c>
      <c r="U28" s="2">
        <v>1</v>
      </c>
      <c r="V28" s="2">
        <v>10</v>
      </c>
      <c r="W28" s="5">
        <f t="shared" si="2"/>
        <v>713</v>
      </c>
      <c r="X28" s="14" t="s">
        <v>69</v>
      </c>
      <c r="Y28" s="14" t="s">
        <v>69</v>
      </c>
      <c r="Z28" s="14" t="s">
        <v>69</v>
      </c>
      <c r="AA28" s="14" t="s">
        <v>69</v>
      </c>
    </row>
    <row r="29" spans="1:27" x14ac:dyDescent="0.2">
      <c r="A29" t="s">
        <v>8</v>
      </c>
      <c r="B29">
        <v>2008</v>
      </c>
      <c r="D29" s="2"/>
      <c r="E29" s="2" t="s">
        <v>3</v>
      </c>
      <c r="F29" s="2" t="s">
        <v>16</v>
      </c>
      <c r="G29" s="2"/>
      <c r="H29" s="2">
        <f>ROUND(G28/2,0)</f>
        <v>501</v>
      </c>
      <c r="I29" s="2"/>
      <c r="J29" s="2">
        <f>ROUND(I28/2,0)</f>
        <v>11</v>
      </c>
      <c r="K29" s="2"/>
      <c r="L29" s="2">
        <f>ROUND(K28/2,0)</f>
        <v>763</v>
      </c>
      <c r="M29" s="2"/>
      <c r="N29" s="2">
        <f>ROUND(M28/2,0)</f>
        <v>693</v>
      </c>
      <c r="O29" s="2"/>
      <c r="P29" s="2">
        <f>ROUND(O28/2,0)</f>
        <v>8</v>
      </c>
      <c r="Q29" s="2"/>
      <c r="R29" s="2">
        <f>ROUND(Q28/2,0)</f>
        <v>1048</v>
      </c>
      <c r="S29" s="2"/>
      <c r="T29" s="2"/>
      <c r="U29" s="2"/>
      <c r="V29" s="2"/>
      <c r="W29" s="5"/>
      <c r="X29" s="14" t="s">
        <v>69</v>
      </c>
      <c r="Y29" s="14" t="s">
        <v>69</v>
      </c>
      <c r="Z29" s="14" t="s">
        <v>69</v>
      </c>
      <c r="AA29" s="14" t="s">
        <v>69</v>
      </c>
    </row>
    <row r="30" spans="1:27" x14ac:dyDescent="0.2">
      <c r="A30" t="s">
        <v>11</v>
      </c>
      <c r="B30">
        <v>2009</v>
      </c>
      <c r="D30" s="2">
        <v>6</v>
      </c>
      <c r="E30" s="2" t="s">
        <v>3</v>
      </c>
      <c r="F30" s="2" t="s">
        <v>16</v>
      </c>
      <c r="G30" s="2">
        <v>1065</v>
      </c>
      <c r="H30" s="2">
        <f>ROUND(G30/2,0)</f>
        <v>533</v>
      </c>
      <c r="I30" s="2">
        <v>23</v>
      </c>
      <c r="J30" s="2">
        <f>ROUND(I30/2,0)</f>
        <v>12</v>
      </c>
      <c r="K30" s="2">
        <f t="shared" si="0"/>
        <v>1621</v>
      </c>
      <c r="L30" s="2">
        <f>ROUND(K30/2,0)</f>
        <v>811</v>
      </c>
      <c r="M30" s="2">
        <v>1748</v>
      </c>
      <c r="N30" s="2">
        <f>ROUND(M30/2,0)</f>
        <v>874</v>
      </c>
      <c r="O30" s="2">
        <v>10</v>
      </c>
      <c r="P30" s="2">
        <f>ROUND(O30/2,0)</f>
        <v>5</v>
      </c>
      <c r="Q30" s="2">
        <f t="shared" si="1"/>
        <v>2632</v>
      </c>
      <c r="R30" s="2">
        <f>ROUND(Q30/2,0)</f>
        <v>1316</v>
      </c>
      <c r="S30" s="2">
        <v>6</v>
      </c>
      <c r="T30" s="2">
        <v>873</v>
      </c>
      <c r="U30" s="3">
        <v>0</v>
      </c>
      <c r="V30" s="2">
        <v>19</v>
      </c>
      <c r="W30" s="5">
        <f t="shared" si="2"/>
        <v>898</v>
      </c>
      <c r="X30" s="14" t="s">
        <v>69</v>
      </c>
      <c r="Y30" s="14" t="s">
        <v>69</v>
      </c>
      <c r="Z30" s="14" t="s">
        <v>69</v>
      </c>
      <c r="AA30" s="14" t="s">
        <v>69</v>
      </c>
    </row>
    <row r="31" spans="1:27" x14ac:dyDescent="0.2">
      <c r="A31" t="s">
        <v>11</v>
      </c>
      <c r="B31">
        <v>2010</v>
      </c>
      <c r="D31" s="2"/>
      <c r="E31" s="2" t="s">
        <v>3</v>
      </c>
      <c r="F31" s="2" t="s">
        <v>16</v>
      </c>
      <c r="G31" s="2"/>
      <c r="H31" s="2">
        <f>ROUND(G30/2,0)</f>
        <v>533</v>
      </c>
      <c r="I31" s="2"/>
      <c r="J31" s="2">
        <f>ROUND(I30/2,0)</f>
        <v>12</v>
      </c>
      <c r="K31" s="2"/>
      <c r="L31" s="2">
        <f>ROUND(K30/2,0)</f>
        <v>811</v>
      </c>
      <c r="M31" s="2"/>
      <c r="N31" s="2">
        <f>ROUND(M30/2,0)</f>
        <v>874</v>
      </c>
      <c r="O31" s="2"/>
      <c r="P31" s="2">
        <f>ROUND(O30/2,0)</f>
        <v>5</v>
      </c>
      <c r="Q31" s="2"/>
      <c r="R31" s="2">
        <f>ROUND(Q30/2,0)</f>
        <v>1316</v>
      </c>
      <c r="S31" s="2"/>
      <c r="T31" s="2"/>
      <c r="U31" s="3"/>
      <c r="V31" s="2"/>
      <c r="W31" s="5"/>
      <c r="X31" s="14" t="s">
        <v>69</v>
      </c>
      <c r="Y31" s="14" t="s">
        <v>69</v>
      </c>
      <c r="Z31" s="14" t="s">
        <v>69</v>
      </c>
      <c r="AA31" s="14" t="s">
        <v>69</v>
      </c>
    </row>
    <row r="32" spans="1:27" x14ac:dyDescent="0.2">
      <c r="A32" t="s">
        <v>12</v>
      </c>
      <c r="B32">
        <v>2011</v>
      </c>
      <c r="D32" s="2">
        <v>7</v>
      </c>
      <c r="E32" s="2" t="s">
        <v>3</v>
      </c>
      <c r="F32" s="2" t="s">
        <v>16</v>
      </c>
      <c r="G32" s="2">
        <v>1060</v>
      </c>
      <c r="H32" s="2">
        <f>ROUND(G32/2,0)</f>
        <v>530</v>
      </c>
      <c r="I32" s="2">
        <v>26</v>
      </c>
      <c r="J32" s="2">
        <f>ROUND(I32/2,0)</f>
        <v>13</v>
      </c>
      <c r="K32" s="2">
        <f t="shared" si="0"/>
        <v>1616</v>
      </c>
      <c r="L32" s="2">
        <f>ROUND(K32/2,0)</f>
        <v>808</v>
      </c>
      <c r="M32" s="2">
        <v>1567</v>
      </c>
      <c r="N32" s="2">
        <f>ROUND(M32/2,0)</f>
        <v>784</v>
      </c>
      <c r="O32" s="2">
        <v>13</v>
      </c>
      <c r="P32" s="2">
        <f>ROUND(O32/2,0)</f>
        <v>7</v>
      </c>
      <c r="Q32" s="2">
        <f t="shared" si="1"/>
        <v>2364</v>
      </c>
      <c r="R32" s="2">
        <f>ROUND(Q32/2,0)</f>
        <v>1182</v>
      </c>
      <c r="S32" s="2">
        <v>10</v>
      </c>
      <c r="T32" s="2">
        <v>859</v>
      </c>
      <c r="U32" s="3">
        <v>0</v>
      </c>
      <c r="V32" s="2">
        <v>24</v>
      </c>
      <c r="W32" s="5">
        <f t="shared" si="2"/>
        <v>893</v>
      </c>
      <c r="X32" s="14" t="s">
        <v>69</v>
      </c>
      <c r="Y32" s="14" t="s">
        <v>69</v>
      </c>
      <c r="Z32" s="14" t="s">
        <v>69</v>
      </c>
      <c r="AA32" s="14" t="s">
        <v>69</v>
      </c>
    </row>
    <row r="33" spans="1:27" x14ac:dyDescent="0.2">
      <c r="A33" t="s">
        <v>12</v>
      </c>
      <c r="B33">
        <v>2012</v>
      </c>
      <c r="D33" s="2"/>
      <c r="E33" s="2" t="s">
        <v>3</v>
      </c>
      <c r="F33" s="2" t="s">
        <v>16</v>
      </c>
      <c r="G33" s="2"/>
      <c r="H33" s="2">
        <f>ROUND(G32/2,0)</f>
        <v>530</v>
      </c>
      <c r="I33" s="2"/>
      <c r="J33" s="2">
        <f>ROUND(I32/2,0)</f>
        <v>13</v>
      </c>
      <c r="K33" s="2"/>
      <c r="L33" s="2">
        <f>ROUND(K32/2,0)</f>
        <v>808</v>
      </c>
      <c r="M33" s="2"/>
      <c r="N33" s="2">
        <f>ROUND(M32/2,0)</f>
        <v>784</v>
      </c>
      <c r="O33" s="2"/>
      <c r="P33" s="2">
        <f>ROUND(O32/2,0)</f>
        <v>7</v>
      </c>
      <c r="Q33" s="2"/>
      <c r="R33" s="2">
        <f>ROUND(Q32/2,0)</f>
        <v>1182</v>
      </c>
      <c r="S33" s="2"/>
      <c r="T33" s="2"/>
      <c r="U33" s="3"/>
      <c r="V33" s="2"/>
      <c r="W33" s="5"/>
      <c r="X33" s="14" t="s">
        <v>69</v>
      </c>
      <c r="Y33" s="14" t="s">
        <v>69</v>
      </c>
      <c r="Z33" s="14" t="s">
        <v>69</v>
      </c>
      <c r="AA33" s="14" t="s">
        <v>69</v>
      </c>
    </row>
    <row r="34" spans="1:27" x14ac:dyDescent="0.2">
      <c r="A34" t="s">
        <v>13</v>
      </c>
      <c r="B34">
        <v>2013</v>
      </c>
      <c r="D34" s="2">
        <v>8</v>
      </c>
      <c r="E34" s="2" t="s">
        <v>3</v>
      </c>
      <c r="F34" s="2" t="s">
        <v>16</v>
      </c>
      <c r="G34" s="2">
        <v>1023</v>
      </c>
      <c r="H34" s="2">
        <f>ROUND(G34/2,0)</f>
        <v>512</v>
      </c>
      <c r="I34" s="2">
        <v>26</v>
      </c>
      <c r="J34" s="2">
        <f>ROUND(I34/2,0)</f>
        <v>13</v>
      </c>
      <c r="K34" s="2">
        <f t="shared" si="0"/>
        <v>1561</v>
      </c>
      <c r="L34" s="2">
        <f>ROUND(K34/2,0)</f>
        <v>781</v>
      </c>
      <c r="M34" s="2">
        <v>1669</v>
      </c>
      <c r="N34" s="2">
        <f>ROUND(M34/2,0)</f>
        <v>835</v>
      </c>
      <c r="O34" s="2">
        <v>11</v>
      </c>
      <c r="P34" s="2">
        <f>ROUND(O34/2,0)</f>
        <v>6</v>
      </c>
      <c r="Q34" s="2">
        <f t="shared" si="1"/>
        <v>2515</v>
      </c>
      <c r="R34" s="2">
        <f>ROUND(Q34/2,0)</f>
        <v>1258</v>
      </c>
      <c r="S34" s="2">
        <v>6</v>
      </c>
      <c r="T34" s="2">
        <v>867</v>
      </c>
      <c r="U34" s="2">
        <v>1</v>
      </c>
      <c r="V34" s="2">
        <v>22</v>
      </c>
      <c r="W34" s="5">
        <f t="shared" si="2"/>
        <v>896</v>
      </c>
      <c r="X34" s="14" t="s">
        <v>69</v>
      </c>
      <c r="Y34" s="14" t="s">
        <v>69</v>
      </c>
      <c r="Z34" s="14" t="s">
        <v>69</v>
      </c>
      <c r="AA34" s="14" t="s">
        <v>69</v>
      </c>
    </row>
    <row r="35" spans="1:27" x14ac:dyDescent="0.2">
      <c r="A35" t="s">
        <v>13</v>
      </c>
      <c r="B35">
        <v>2014</v>
      </c>
      <c r="D35" s="2"/>
      <c r="E35" s="2" t="s">
        <v>3</v>
      </c>
      <c r="F35" s="2" t="s">
        <v>16</v>
      </c>
      <c r="G35" s="2"/>
      <c r="H35" s="2">
        <f>ROUND(G34/2,0)</f>
        <v>512</v>
      </c>
      <c r="I35" s="2"/>
      <c r="J35" s="2">
        <f>ROUND(I34/2,0)</f>
        <v>13</v>
      </c>
      <c r="K35" s="2"/>
      <c r="L35" s="2">
        <f>ROUND(K34/2,0)</f>
        <v>781</v>
      </c>
      <c r="M35" s="2"/>
      <c r="N35" s="2">
        <f>ROUND(M34/2,0)</f>
        <v>835</v>
      </c>
      <c r="O35" s="2"/>
      <c r="P35" s="2">
        <f>ROUND(O34/2,0)</f>
        <v>6</v>
      </c>
      <c r="Q35" s="2"/>
      <c r="R35" s="2">
        <f>ROUND(Q34/2,0)</f>
        <v>1258</v>
      </c>
      <c r="S35" s="2"/>
      <c r="T35" s="2"/>
      <c r="U35" s="2"/>
      <c r="V35" s="2"/>
      <c r="W35" s="5"/>
      <c r="X35" s="14" t="s">
        <v>69</v>
      </c>
      <c r="Y35" s="14" t="s">
        <v>69</v>
      </c>
      <c r="Z35" s="14" t="s">
        <v>69</v>
      </c>
      <c r="AA35" s="14" t="s">
        <v>69</v>
      </c>
    </row>
    <row r="36" spans="1:27" x14ac:dyDescent="0.2">
      <c r="A36" t="s">
        <v>14</v>
      </c>
      <c r="B36">
        <v>2015</v>
      </c>
      <c r="D36" s="2">
        <v>9</v>
      </c>
      <c r="E36" s="2" t="s">
        <v>3</v>
      </c>
      <c r="F36" s="2" t="s">
        <v>16</v>
      </c>
      <c r="G36" s="2">
        <v>974</v>
      </c>
      <c r="H36" s="2">
        <f>ROUND(G36/2,0)</f>
        <v>487</v>
      </c>
      <c r="I36" s="2">
        <v>25</v>
      </c>
      <c r="J36" s="2">
        <f>ROUND(I36/2,0)</f>
        <v>13</v>
      </c>
      <c r="K36" s="2">
        <f t="shared" si="0"/>
        <v>1486</v>
      </c>
      <c r="L36" s="2">
        <f>ROUND(K36/2,0)</f>
        <v>743</v>
      </c>
      <c r="M36" s="2">
        <v>1511</v>
      </c>
      <c r="N36" s="2">
        <f>ROUND(M36/2,0)</f>
        <v>756</v>
      </c>
      <c r="O36" s="2">
        <v>14</v>
      </c>
      <c r="P36" s="2">
        <f>ROUND(O36/2,0)</f>
        <v>7</v>
      </c>
      <c r="Q36" s="2">
        <f t="shared" si="1"/>
        <v>2281</v>
      </c>
      <c r="R36" s="2">
        <f>ROUND(Q36/2,0)</f>
        <v>1141</v>
      </c>
      <c r="S36" s="2">
        <v>12</v>
      </c>
      <c r="T36" s="2">
        <v>774</v>
      </c>
      <c r="U36" s="3">
        <v>0</v>
      </c>
      <c r="V36" s="2">
        <v>21</v>
      </c>
      <c r="W36" s="5">
        <f t="shared" si="2"/>
        <v>807</v>
      </c>
      <c r="X36" s="14" t="s">
        <v>69</v>
      </c>
      <c r="Y36" s="14" t="s">
        <v>69</v>
      </c>
      <c r="Z36" s="14" t="s">
        <v>69</v>
      </c>
      <c r="AA36" s="14" t="s">
        <v>69</v>
      </c>
    </row>
    <row r="37" spans="1:27" x14ac:dyDescent="0.2">
      <c r="A37" t="s">
        <v>14</v>
      </c>
      <c r="B37">
        <v>2016</v>
      </c>
      <c r="D37" s="2"/>
      <c r="E37" s="2" t="s">
        <v>3</v>
      </c>
      <c r="F37" s="2" t="s">
        <v>16</v>
      </c>
      <c r="G37" s="2"/>
      <c r="H37" s="2">
        <f>ROUND(G36/2,0)</f>
        <v>487</v>
      </c>
      <c r="I37" s="2"/>
      <c r="J37" s="2">
        <f>ROUND(I36/2,0)</f>
        <v>13</v>
      </c>
      <c r="K37" s="2"/>
      <c r="L37" s="2">
        <f>ROUND(K36/2,0)</f>
        <v>743</v>
      </c>
      <c r="M37" s="2"/>
      <c r="N37" s="2">
        <f>ROUND(M36/2,0)</f>
        <v>756</v>
      </c>
      <c r="O37" s="2"/>
      <c r="P37" s="2">
        <f>ROUND(O36/2,0)</f>
        <v>7</v>
      </c>
      <c r="Q37" s="2"/>
      <c r="R37" s="2">
        <f>ROUND(Q36/2,0)</f>
        <v>1141</v>
      </c>
      <c r="S37" s="2"/>
      <c r="T37" s="2"/>
      <c r="U37" s="3"/>
      <c r="V37" s="2"/>
      <c r="W37" s="5"/>
      <c r="X37" s="14" t="s">
        <v>69</v>
      </c>
      <c r="Y37" s="14" t="s">
        <v>69</v>
      </c>
      <c r="Z37" s="14" t="s">
        <v>69</v>
      </c>
      <c r="AA37" s="14" t="s">
        <v>69</v>
      </c>
    </row>
    <row r="38" spans="1:27" x14ac:dyDescent="0.2">
      <c r="A38" t="s">
        <v>4</v>
      </c>
      <c r="B38">
        <v>1999</v>
      </c>
      <c r="D38" s="2">
        <v>1</v>
      </c>
      <c r="E38" s="2" t="s">
        <v>2</v>
      </c>
      <c r="F38" s="2" t="s">
        <v>43</v>
      </c>
      <c r="G38" s="2">
        <v>472</v>
      </c>
      <c r="H38" s="2">
        <f>ROUND(G38/2,0)</f>
        <v>236</v>
      </c>
      <c r="I38" s="2">
        <v>34</v>
      </c>
      <c r="J38" s="2">
        <f>ROUND(I38/2,0)</f>
        <v>17</v>
      </c>
      <c r="K38" s="2">
        <f t="shared" ref="K38:K108" si="3">SUM(G38:I38)</f>
        <v>742</v>
      </c>
      <c r="L38" s="2">
        <f>ROUND(K38/2,0)</f>
        <v>371</v>
      </c>
      <c r="M38" s="2">
        <v>190</v>
      </c>
      <c r="N38" s="2">
        <f>ROUND(M38/2,0)</f>
        <v>95</v>
      </c>
      <c r="O38" s="2">
        <v>6</v>
      </c>
      <c r="P38" s="2">
        <f>ROUND(O38/2,0)</f>
        <v>3</v>
      </c>
      <c r="Q38" s="2">
        <f t="shared" si="1"/>
        <v>291</v>
      </c>
      <c r="R38" s="2">
        <f>ROUND(Q38/2,0)</f>
        <v>146</v>
      </c>
      <c r="S38" s="2">
        <v>6</v>
      </c>
      <c r="T38" s="2">
        <v>179</v>
      </c>
      <c r="U38" s="3">
        <v>0</v>
      </c>
      <c r="V38" s="2">
        <v>9</v>
      </c>
      <c r="W38" s="5">
        <f t="shared" si="2"/>
        <v>194</v>
      </c>
      <c r="X38" s="14" t="s">
        <v>69</v>
      </c>
      <c r="Y38" s="14" t="s">
        <v>69</v>
      </c>
      <c r="Z38" s="14" t="s">
        <v>69</v>
      </c>
      <c r="AA38" s="14" t="s">
        <v>69</v>
      </c>
    </row>
    <row r="39" spans="1:27" x14ac:dyDescent="0.2">
      <c r="A39" t="s">
        <v>4</v>
      </c>
      <c r="B39">
        <v>2000</v>
      </c>
      <c r="D39" s="2"/>
      <c r="E39" s="2" t="s">
        <v>2</v>
      </c>
      <c r="F39" s="2" t="s">
        <v>43</v>
      </c>
      <c r="G39" s="2"/>
      <c r="H39" s="2">
        <f>ROUND(G38/2,0)</f>
        <v>236</v>
      </c>
      <c r="I39" s="2"/>
      <c r="J39" s="2">
        <f>ROUND(I38/2,0)</f>
        <v>17</v>
      </c>
      <c r="K39" s="2"/>
      <c r="L39" s="2">
        <f>ROUND(K38/2,0)</f>
        <v>371</v>
      </c>
      <c r="M39" s="2"/>
      <c r="N39" s="2">
        <f>ROUND(M38/2,0)</f>
        <v>95</v>
      </c>
      <c r="O39" s="2"/>
      <c r="P39" s="2">
        <f>ROUND(O38/2,0)</f>
        <v>3</v>
      </c>
      <c r="Q39" s="2"/>
      <c r="R39" s="2">
        <f>ROUND(Q38/2,0)</f>
        <v>146</v>
      </c>
      <c r="S39" s="2"/>
      <c r="T39" s="2"/>
      <c r="U39" s="3"/>
      <c r="V39" s="2"/>
      <c r="W39" s="5"/>
      <c r="X39" s="14" t="s">
        <v>69</v>
      </c>
      <c r="Y39" s="14" t="s">
        <v>69</v>
      </c>
      <c r="Z39" s="14" t="s">
        <v>69</v>
      </c>
      <c r="AA39" s="14" t="s">
        <v>69</v>
      </c>
    </row>
    <row r="40" spans="1:27" x14ac:dyDescent="0.2">
      <c r="A40" t="s">
        <v>5</v>
      </c>
      <c r="B40">
        <v>2001</v>
      </c>
      <c r="D40" s="2">
        <v>2</v>
      </c>
      <c r="E40" s="2" t="s">
        <v>2</v>
      </c>
      <c r="F40" s="2" t="s">
        <v>43</v>
      </c>
      <c r="G40" s="2">
        <v>511</v>
      </c>
      <c r="H40" s="2">
        <f>ROUND(G40/2,0)</f>
        <v>256</v>
      </c>
      <c r="I40" s="2">
        <v>33</v>
      </c>
      <c r="J40" s="2">
        <f>ROUND(I40/2,0)</f>
        <v>17</v>
      </c>
      <c r="K40" s="2">
        <f t="shared" si="3"/>
        <v>800</v>
      </c>
      <c r="L40" s="2">
        <f>ROUND(K40/2,0)</f>
        <v>400</v>
      </c>
      <c r="M40" s="2">
        <v>228</v>
      </c>
      <c r="N40" s="2">
        <f>ROUND(M40/2,0)</f>
        <v>114</v>
      </c>
      <c r="O40" s="2">
        <v>8</v>
      </c>
      <c r="P40" s="2">
        <f>ROUND(O40/2,0)</f>
        <v>4</v>
      </c>
      <c r="Q40" s="2">
        <f t="shared" si="1"/>
        <v>350</v>
      </c>
      <c r="R40" s="2">
        <f>ROUND(Q40/2,0)</f>
        <v>175</v>
      </c>
      <c r="S40" s="2">
        <v>7</v>
      </c>
      <c r="T40" s="2">
        <v>218</v>
      </c>
      <c r="U40" s="2">
        <v>1</v>
      </c>
      <c r="V40" s="2">
        <v>6</v>
      </c>
      <c r="W40" s="5">
        <f t="shared" si="2"/>
        <v>232</v>
      </c>
      <c r="X40" s="14" t="s">
        <v>69</v>
      </c>
      <c r="Y40" s="14" t="s">
        <v>69</v>
      </c>
      <c r="Z40" s="14" t="s">
        <v>69</v>
      </c>
      <c r="AA40" s="14" t="s">
        <v>69</v>
      </c>
    </row>
    <row r="41" spans="1:27" x14ac:dyDescent="0.2">
      <c r="A41" t="s">
        <v>5</v>
      </c>
      <c r="B41">
        <v>2002</v>
      </c>
      <c r="D41" s="2"/>
      <c r="E41" s="2" t="s">
        <v>2</v>
      </c>
      <c r="F41" s="2" t="s">
        <v>43</v>
      </c>
      <c r="G41" s="2"/>
      <c r="H41" s="2">
        <f>ROUND(G40/2,0)</f>
        <v>256</v>
      </c>
      <c r="I41" s="2"/>
      <c r="J41" s="2">
        <f>ROUND(I40/2,0)</f>
        <v>17</v>
      </c>
      <c r="K41" s="2"/>
      <c r="L41" s="2">
        <f>ROUND(K40/2,0)</f>
        <v>400</v>
      </c>
      <c r="M41" s="2"/>
      <c r="N41" s="2">
        <f>ROUND(M40/2,0)</f>
        <v>114</v>
      </c>
      <c r="O41" s="2"/>
      <c r="P41" s="2">
        <f>ROUND(O40/2,0)</f>
        <v>4</v>
      </c>
      <c r="Q41" s="2"/>
      <c r="R41" s="2">
        <f>ROUND(Q40/2,0)</f>
        <v>175</v>
      </c>
      <c r="S41" s="2"/>
      <c r="T41" s="2"/>
      <c r="U41" s="2"/>
      <c r="V41" s="2"/>
      <c r="W41" s="5"/>
      <c r="X41" s="14" t="s">
        <v>69</v>
      </c>
      <c r="Y41" s="14" t="s">
        <v>69</v>
      </c>
      <c r="Z41" s="14" t="s">
        <v>69</v>
      </c>
      <c r="AA41" s="14" t="s">
        <v>69</v>
      </c>
    </row>
    <row r="42" spans="1:27" x14ac:dyDescent="0.2">
      <c r="A42" t="s">
        <v>6</v>
      </c>
      <c r="B42">
        <v>2003</v>
      </c>
      <c r="D42" s="2">
        <v>3</v>
      </c>
      <c r="E42" s="2" t="s">
        <v>2</v>
      </c>
      <c r="F42" s="2" t="s">
        <v>43</v>
      </c>
      <c r="G42" s="2">
        <v>492</v>
      </c>
      <c r="H42" s="2">
        <f>ROUND(G42/2,0)</f>
        <v>246</v>
      </c>
      <c r="I42" s="2">
        <v>30</v>
      </c>
      <c r="J42" s="2">
        <f>ROUND(I42/2,0)</f>
        <v>15</v>
      </c>
      <c r="K42" s="2">
        <f t="shared" si="3"/>
        <v>768</v>
      </c>
      <c r="L42" s="2">
        <f>ROUND(K42/2,0)</f>
        <v>384</v>
      </c>
      <c r="M42" s="2">
        <v>188</v>
      </c>
      <c r="N42" s="2">
        <f>ROUND(M42/2,0)</f>
        <v>94</v>
      </c>
      <c r="O42" s="2">
        <v>5</v>
      </c>
      <c r="P42" s="2">
        <f>ROUND(O42/2,0)</f>
        <v>3</v>
      </c>
      <c r="Q42" s="2">
        <f t="shared" si="1"/>
        <v>287</v>
      </c>
      <c r="R42" s="2">
        <f>ROUND(Q42/2,0)</f>
        <v>144</v>
      </c>
      <c r="S42" s="2">
        <v>5</v>
      </c>
      <c r="T42" s="2">
        <v>175</v>
      </c>
      <c r="U42" s="3">
        <v>0</v>
      </c>
      <c r="V42" s="2">
        <v>11</v>
      </c>
      <c r="W42" s="5">
        <f t="shared" si="2"/>
        <v>191</v>
      </c>
      <c r="X42" s="14" t="s">
        <v>69</v>
      </c>
      <c r="Y42" s="14" t="s">
        <v>69</v>
      </c>
      <c r="Z42" s="14" t="s">
        <v>69</v>
      </c>
      <c r="AA42" s="14" t="s">
        <v>69</v>
      </c>
    </row>
    <row r="43" spans="1:27" x14ac:dyDescent="0.2">
      <c r="A43" t="s">
        <v>6</v>
      </c>
      <c r="B43">
        <v>2004</v>
      </c>
      <c r="D43" s="2"/>
      <c r="E43" s="2" t="s">
        <v>2</v>
      </c>
      <c r="F43" s="2" t="s">
        <v>43</v>
      </c>
      <c r="G43" s="2"/>
      <c r="H43" s="2">
        <f>ROUND(G42/2,0)</f>
        <v>246</v>
      </c>
      <c r="I43" s="2"/>
      <c r="J43" s="2">
        <f>ROUND(I42/2,0)</f>
        <v>15</v>
      </c>
      <c r="K43" s="2"/>
      <c r="L43" s="2">
        <f>ROUND(K42/2,0)</f>
        <v>384</v>
      </c>
      <c r="M43" s="2"/>
      <c r="N43" s="2">
        <f>ROUND(M42/2,0)</f>
        <v>94</v>
      </c>
      <c r="O43" s="2"/>
      <c r="P43" s="2">
        <f>ROUND(O42/2,0)</f>
        <v>3</v>
      </c>
      <c r="Q43" s="2"/>
      <c r="R43" s="2">
        <f>ROUND(Q42/2,0)</f>
        <v>144</v>
      </c>
      <c r="S43" s="2"/>
      <c r="T43" s="2"/>
      <c r="U43" s="3"/>
      <c r="V43" s="2"/>
      <c r="W43" s="5"/>
      <c r="X43" s="14" t="s">
        <v>69</v>
      </c>
      <c r="Y43" s="14" t="s">
        <v>69</v>
      </c>
      <c r="Z43" s="14" t="s">
        <v>69</v>
      </c>
      <c r="AA43" s="14" t="s">
        <v>69</v>
      </c>
    </row>
    <row r="44" spans="1:27" x14ac:dyDescent="0.2">
      <c r="A44" t="s">
        <v>7</v>
      </c>
      <c r="B44">
        <v>2005</v>
      </c>
      <c r="D44" s="2">
        <v>4</v>
      </c>
      <c r="E44" s="2" t="s">
        <v>2</v>
      </c>
      <c r="F44" s="2" t="s">
        <v>43</v>
      </c>
      <c r="G44" s="2">
        <v>543</v>
      </c>
      <c r="H44" s="2">
        <f>ROUND(G44/2,0)</f>
        <v>272</v>
      </c>
      <c r="I44" s="2">
        <v>24</v>
      </c>
      <c r="J44" s="2">
        <f>ROUND(I44/2,0)</f>
        <v>12</v>
      </c>
      <c r="K44" s="2">
        <f t="shared" si="3"/>
        <v>839</v>
      </c>
      <c r="L44" s="2">
        <f>ROUND(K44/2,0)</f>
        <v>420</v>
      </c>
      <c r="M44" s="2">
        <v>232</v>
      </c>
      <c r="N44" s="2">
        <f>ROUND(M44/2,0)</f>
        <v>116</v>
      </c>
      <c r="O44" s="2">
        <v>7</v>
      </c>
      <c r="P44" s="2">
        <f>ROUND(O44/2,0)</f>
        <v>4</v>
      </c>
      <c r="Q44" s="2">
        <f t="shared" si="1"/>
        <v>355</v>
      </c>
      <c r="R44" s="2">
        <f>ROUND(Q44/2,0)</f>
        <v>178</v>
      </c>
      <c r="S44" s="2">
        <v>6</v>
      </c>
      <c r="T44" s="2">
        <v>224</v>
      </c>
      <c r="U44" s="2">
        <v>1</v>
      </c>
      <c r="V44" s="2">
        <v>4</v>
      </c>
      <c r="W44" s="5">
        <f t="shared" si="2"/>
        <v>235</v>
      </c>
      <c r="X44" s="14" t="s">
        <v>69</v>
      </c>
      <c r="Y44" s="14" t="s">
        <v>69</v>
      </c>
      <c r="Z44" s="14" t="s">
        <v>69</v>
      </c>
      <c r="AA44" s="14" t="s">
        <v>69</v>
      </c>
    </row>
    <row r="45" spans="1:27" x14ac:dyDescent="0.2">
      <c r="A45" t="s">
        <v>7</v>
      </c>
      <c r="B45">
        <v>2006</v>
      </c>
      <c r="D45" s="2"/>
      <c r="E45" s="2" t="s">
        <v>2</v>
      </c>
      <c r="F45" s="2" t="s">
        <v>43</v>
      </c>
      <c r="G45" s="2"/>
      <c r="H45" s="2">
        <f>ROUND(G44/2,0)</f>
        <v>272</v>
      </c>
      <c r="I45" s="2"/>
      <c r="J45" s="2">
        <f>ROUND(I44/2,0)</f>
        <v>12</v>
      </c>
      <c r="K45" s="2"/>
      <c r="L45" s="2">
        <f>ROUND(K44/2,0)</f>
        <v>420</v>
      </c>
      <c r="M45" s="2"/>
      <c r="N45" s="2">
        <f>ROUND(M44/2,0)</f>
        <v>116</v>
      </c>
      <c r="O45" s="2"/>
      <c r="P45" s="2">
        <f>ROUND(O44/2,0)</f>
        <v>4</v>
      </c>
      <c r="Q45" s="2"/>
      <c r="R45" s="2">
        <f>ROUND(Q44/2,0)</f>
        <v>178</v>
      </c>
      <c r="S45" s="2"/>
      <c r="T45" s="2"/>
      <c r="U45" s="2"/>
      <c r="V45" s="2"/>
      <c r="W45" s="5"/>
      <c r="X45" s="14" t="s">
        <v>69</v>
      </c>
      <c r="Y45" s="14" t="s">
        <v>69</v>
      </c>
      <c r="Z45" s="14" t="s">
        <v>69</v>
      </c>
      <c r="AA45" s="14" t="s">
        <v>69</v>
      </c>
    </row>
    <row r="46" spans="1:27" x14ac:dyDescent="0.2">
      <c r="A46" t="s">
        <v>8</v>
      </c>
      <c r="B46">
        <v>2007</v>
      </c>
      <c r="D46" s="2">
        <v>5</v>
      </c>
      <c r="E46" s="2" t="s">
        <v>2</v>
      </c>
      <c r="F46" s="2" t="s">
        <v>43</v>
      </c>
      <c r="G46" s="2">
        <v>321</v>
      </c>
      <c r="H46" s="2">
        <f>ROUND(G46/2,0)</f>
        <v>161</v>
      </c>
      <c r="I46" s="2">
        <v>22</v>
      </c>
      <c r="J46" s="2">
        <f>ROUND(I46/2,0)</f>
        <v>11</v>
      </c>
      <c r="K46" s="2">
        <f t="shared" si="3"/>
        <v>504</v>
      </c>
      <c r="L46" s="2">
        <f>ROUND(K46/2,0)</f>
        <v>252</v>
      </c>
      <c r="M46" s="2">
        <v>188</v>
      </c>
      <c r="N46" s="2">
        <f>ROUND(M46/2,0)</f>
        <v>94</v>
      </c>
      <c r="O46" s="2">
        <v>4</v>
      </c>
      <c r="P46" s="2">
        <f>ROUND(O46/2,0)</f>
        <v>2</v>
      </c>
      <c r="Q46" s="2">
        <f t="shared" si="1"/>
        <v>286</v>
      </c>
      <c r="R46" s="2">
        <f>ROUND(Q46/2,0)</f>
        <v>143</v>
      </c>
      <c r="S46" s="2">
        <v>3</v>
      </c>
      <c r="T46" s="2">
        <v>173</v>
      </c>
      <c r="U46" s="3">
        <v>0</v>
      </c>
      <c r="V46" s="2">
        <v>13</v>
      </c>
      <c r="W46" s="5">
        <f t="shared" si="2"/>
        <v>189</v>
      </c>
      <c r="X46" s="14" t="s">
        <v>69</v>
      </c>
      <c r="Y46" s="14" t="s">
        <v>69</v>
      </c>
      <c r="Z46" s="14" t="s">
        <v>69</v>
      </c>
      <c r="AA46" s="14" t="s">
        <v>69</v>
      </c>
    </row>
    <row r="47" spans="1:27" x14ac:dyDescent="0.2">
      <c r="A47" t="s">
        <v>8</v>
      </c>
      <c r="B47">
        <v>2008</v>
      </c>
      <c r="D47" s="2"/>
      <c r="E47" s="2" t="s">
        <v>2</v>
      </c>
      <c r="F47" s="2" t="s">
        <v>43</v>
      </c>
      <c r="G47" s="2"/>
      <c r="H47" s="2">
        <f>ROUND(G46/2,0)</f>
        <v>161</v>
      </c>
      <c r="I47" s="2"/>
      <c r="J47" s="2">
        <f>ROUND(I46/2,0)</f>
        <v>11</v>
      </c>
      <c r="K47" s="2"/>
      <c r="L47" s="2">
        <f>ROUND(K46/2,0)</f>
        <v>252</v>
      </c>
      <c r="M47" s="2"/>
      <c r="N47" s="2">
        <f>ROUND(M46/2,0)</f>
        <v>94</v>
      </c>
      <c r="O47" s="2"/>
      <c r="P47" s="2">
        <f>ROUND(O46/2,0)</f>
        <v>2</v>
      </c>
      <c r="Q47" s="2"/>
      <c r="R47" s="2">
        <f>ROUND(Q46/2,0)</f>
        <v>143</v>
      </c>
      <c r="S47" s="2"/>
      <c r="T47" s="2"/>
      <c r="U47" s="3"/>
      <c r="V47" s="2"/>
      <c r="W47" s="5"/>
      <c r="X47" s="14" t="s">
        <v>69</v>
      </c>
      <c r="Y47" s="14" t="s">
        <v>69</v>
      </c>
      <c r="Z47" s="14" t="s">
        <v>69</v>
      </c>
      <c r="AA47" s="14" t="s">
        <v>69</v>
      </c>
    </row>
    <row r="48" spans="1:27" x14ac:dyDescent="0.2">
      <c r="A48" t="s">
        <v>11</v>
      </c>
      <c r="B48">
        <v>2009</v>
      </c>
      <c r="D48" s="2">
        <v>6</v>
      </c>
      <c r="E48" s="2" t="s">
        <v>2</v>
      </c>
      <c r="F48" s="2" t="s">
        <v>43</v>
      </c>
      <c r="G48" s="2">
        <v>387</v>
      </c>
      <c r="H48" s="2">
        <f>ROUND(G48/2,0)</f>
        <v>194</v>
      </c>
      <c r="I48" s="2">
        <v>19</v>
      </c>
      <c r="J48" s="2">
        <f>ROUND(I48/2,0)</f>
        <v>10</v>
      </c>
      <c r="K48" s="2">
        <f t="shared" si="3"/>
        <v>600</v>
      </c>
      <c r="L48" s="2">
        <f>ROUND(K48/2,0)</f>
        <v>300</v>
      </c>
      <c r="M48" s="2">
        <v>300</v>
      </c>
      <c r="N48" s="2">
        <f>ROUND(M48/2,0)</f>
        <v>150</v>
      </c>
      <c r="O48" s="2">
        <v>15</v>
      </c>
      <c r="P48" s="2">
        <f>ROUND(O48/2,0)</f>
        <v>8</v>
      </c>
      <c r="Q48" s="2">
        <f t="shared" si="1"/>
        <v>465</v>
      </c>
      <c r="R48" s="2">
        <f>ROUND(Q48/2,0)</f>
        <v>233</v>
      </c>
      <c r="S48" s="2">
        <v>14</v>
      </c>
      <c r="T48" s="2">
        <v>281</v>
      </c>
      <c r="U48" s="2">
        <v>1</v>
      </c>
      <c r="V48" s="2">
        <v>16</v>
      </c>
      <c r="W48" s="5">
        <f t="shared" si="2"/>
        <v>312</v>
      </c>
      <c r="X48" s="14" t="s">
        <v>69</v>
      </c>
      <c r="Y48" s="14" t="s">
        <v>69</v>
      </c>
      <c r="Z48" s="14" t="s">
        <v>69</v>
      </c>
      <c r="AA48" s="14" t="s">
        <v>69</v>
      </c>
    </row>
    <row r="49" spans="1:27" x14ac:dyDescent="0.2">
      <c r="A49" t="s">
        <v>11</v>
      </c>
      <c r="B49">
        <v>2010</v>
      </c>
      <c r="D49" s="2"/>
      <c r="E49" s="2" t="s">
        <v>2</v>
      </c>
      <c r="F49" s="2" t="s">
        <v>43</v>
      </c>
      <c r="G49" s="2"/>
      <c r="H49" s="2">
        <f>ROUND(G48/2,0)</f>
        <v>194</v>
      </c>
      <c r="I49" s="2"/>
      <c r="J49" s="2">
        <f>ROUND(I48/2,0)</f>
        <v>10</v>
      </c>
      <c r="K49" s="2"/>
      <c r="L49" s="2">
        <f>ROUND(K48/2,0)</f>
        <v>300</v>
      </c>
      <c r="M49" s="2"/>
      <c r="N49" s="2">
        <f>ROUND(M48/2,0)</f>
        <v>150</v>
      </c>
      <c r="O49" s="2"/>
      <c r="P49" s="2">
        <f>ROUND(O48/2,0)</f>
        <v>8</v>
      </c>
      <c r="Q49" s="2"/>
      <c r="R49" s="2">
        <f>ROUND(Q48/2,0)</f>
        <v>233</v>
      </c>
      <c r="S49" s="2"/>
      <c r="T49" s="2"/>
      <c r="U49" s="2"/>
      <c r="V49" s="2"/>
      <c r="W49" s="5"/>
      <c r="X49" s="14" t="s">
        <v>69</v>
      </c>
      <c r="Y49" s="14" t="s">
        <v>69</v>
      </c>
      <c r="Z49" s="14" t="s">
        <v>69</v>
      </c>
      <c r="AA49" s="14" t="s">
        <v>69</v>
      </c>
    </row>
    <row r="50" spans="1:27" x14ac:dyDescent="0.2">
      <c r="A50" t="s">
        <v>12</v>
      </c>
      <c r="B50">
        <v>2011</v>
      </c>
      <c r="D50" s="2">
        <v>7</v>
      </c>
      <c r="E50" s="2" t="s">
        <v>2</v>
      </c>
      <c r="F50" s="2" t="s">
        <v>43</v>
      </c>
      <c r="G50" s="2">
        <v>357</v>
      </c>
      <c r="H50" s="2">
        <f>ROUND(G50/2,0)</f>
        <v>179</v>
      </c>
      <c r="I50" s="2">
        <v>20</v>
      </c>
      <c r="J50" s="2">
        <f>ROUND(I50/2,0)</f>
        <v>10</v>
      </c>
      <c r="K50" s="2">
        <f t="shared" si="3"/>
        <v>556</v>
      </c>
      <c r="L50" s="2">
        <f>ROUND(K50/2,0)</f>
        <v>278</v>
      </c>
      <c r="M50" s="2">
        <v>291</v>
      </c>
      <c r="N50" s="2">
        <f>ROUND(M50/2,0)</f>
        <v>146</v>
      </c>
      <c r="O50" s="2">
        <v>20</v>
      </c>
      <c r="P50" s="2">
        <f>ROUND(O50/2,0)</f>
        <v>10</v>
      </c>
      <c r="Q50" s="2">
        <f t="shared" si="1"/>
        <v>457</v>
      </c>
      <c r="R50" s="2">
        <f>ROUND(Q50/2,0)</f>
        <v>229</v>
      </c>
      <c r="S50" s="2">
        <v>19</v>
      </c>
      <c r="T50" s="2">
        <v>270</v>
      </c>
      <c r="U50" s="3">
        <v>0</v>
      </c>
      <c r="V50" s="2">
        <v>16</v>
      </c>
      <c r="W50" s="5">
        <f t="shared" si="2"/>
        <v>305</v>
      </c>
      <c r="X50" s="14" t="s">
        <v>69</v>
      </c>
      <c r="Y50" s="14" t="s">
        <v>69</v>
      </c>
      <c r="Z50" s="14" t="s">
        <v>69</v>
      </c>
      <c r="AA50" s="14" t="s">
        <v>69</v>
      </c>
    </row>
    <row r="51" spans="1:27" x14ac:dyDescent="0.2">
      <c r="A51" t="s">
        <v>12</v>
      </c>
      <c r="B51">
        <v>2012</v>
      </c>
      <c r="D51" s="2"/>
      <c r="E51" s="2" t="s">
        <v>2</v>
      </c>
      <c r="F51" s="2" t="s">
        <v>43</v>
      </c>
      <c r="G51" s="2"/>
      <c r="H51" s="2">
        <f>ROUND(G50/2,0)</f>
        <v>179</v>
      </c>
      <c r="I51" s="2"/>
      <c r="J51" s="2">
        <f>ROUND(I50/2,0)</f>
        <v>10</v>
      </c>
      <c r="K51" s="2"/>
      <c r="L51" s="2">
        <f>ROUND(K50/2,0)</f>
        <v>278</v>
      </c>
      <c r="M51" s="2"/>
      <c r="N51" s="2">
        <f>ROUND(M50/2,0)</f>
        <v>146</v>
      </c>
      <c r="O51" s="2"/>
      <c r="P51" s="2">
        <f>ROUND(O50/2,0)</f>
        <v>10</v>
      </c>
      <c r="Q51" s="2"/>
      <c r="R51" s="2">
        <f>ROUND(Q50/2,0)</f>
        <v>229</v>
      </c>
      <c r="S51" s="2"/>
      <c r="T51" s="2"/>
      <c r="U51" s="3"/>
      <c r="V51" s="2"/>
      <c r="W51" s="5"/>
      <c r="X51" s="14" t="s">
        <v>69</v>
      </c>
      <c r="Y51" s="14" t="s">
        <v>69</v>
      </c>
      <c r="Z51" s="14" t="s">
        <v>69</v>
      </c>
      <c r="AA51" s="14" t="s">
        <v>69</v>
      </c>
    </row>
    <row r="52" spans="1:27" x14ac:dyDescent="0.2">
      <c r="A52" t="s">
        <v>13</v>
      </c>
      <c r="B52">
        <v>2013</v>
      </c>
      <c r="D52" s="2">
        <v>8</v>
      </c>
      <c r="E52" s="2" t="s">
        <v>2</v>
      </c>
      <c r="F52" s="2" t="s">
        <v>43</v>
      </c>
      <c r="G52" s="2">
        <v>392</v>
      </c>
      <c r="H52" s="2">
        <f>ROUND(G52/2,0)</f>
        <v>196</v>
      </c>
      <c r="I52" s="2">
        <v>27</v>
      </c>
      <c r="J52" s="2">
        <f>ROUND(I52/2,0)</f>
        <v>14</v>
      </c>
      <c r="K52" s="2">
        <f t="shared" si="3"/>
        <v>615</v>
      </c>
      <c r="L52" s="2">
        <f>ROUND(K52/2,0)</f>
        <v>308</v>
      </c>
      <c r="M52" s="2">
        <v>310</v>
      </c>
      <c r="N52" s="2">
        <f>ROUND(M52/2,0)</f>
        <v>155</v>
      </c>
      <c r="O52" s="2">
        <v>17</v>
      </c>
      <c r="P52" s="2">
        <f>ROUND(O52/2,0)</f>
        <v>9</v>
      </c>
      <c r="Q52" s="2">
        <f t="shared" si="1"/>
        <v>482</v>
      </c>
      <c r="R52" s="2">
        <f>ROUND(Q52/2,0)</f>
        <v>241</v>
      </c>
      <c r="S52" s="2">
        <v>16</v>
      </c>
      <c r="T52" s="2">
        <v>285</v>
      </c>
      <c r="U52" s="2">
        <v>1</v>
      </c>
      <c r="V52" s="2">
        <v>24</v>
      </c>
      <c r="W52" s="5">
        <f t="shared" si="2"/>
        <v>326</v>
      </c>
      <c r="X52" s="15">
        <v>79</v>
      </c>
      <c r="Y52" s="15">
        <f>ROUND(X52/2,0)</f>
        <v>40</v>
      </c>
      <c r="Z52" s="14">
        <v>324</v>
      </c>
      <c r="AA52" s="15">
        <f>ROUND(Z52/2,0)</f>
        <v>162</v>
      </c>
    </row>
    <row r="53" spans="1:27" x14ac:dyDescent="0.2">
      <c r="A53" t="s">
        <v>13</v>
      </c>
      <c r="B53">
        <v>2014</v>
      </c>
      <c r="D53" s="2"/>
      <c r="E53" s="2" t="s">
        <v>2</v>
      </c>
      <c r="F53" s="2" t="s">
        <v>43</v>
      </c>
      <c r="G53" s="2"/>
      <c r="H53" s="2">
        <f>ROUND(G52/2,0)</f>
        <v>196</v>
      </c>
      <c r="I53" s="2"/>
      <c r="J53" s="2">
        <f>ROUND(I52/2,0)</f>
        <v>14</v>
      </c>
      <c r="K53" s="2"/>
      <c r="L53" s="2">
        <f>ROUND(K52/2,0)</f>
        <v>308</v>
      </c>
      <c r="M53" s="2"/>
      <c r="N53" s="2">
        <f>ROUND(M52/2,0)</f>
        <v>155</v>
      </c>
      <c r="O53" s="2"/>
      <c r="P53" s="2">
        <f>ROUND(O52/2,0)</f>
        <v>9</v>
      </c>
      <c r="Q53" s="2"/>
      <c r="R53" s="2">
        <f>ROUND(Q52/2,0)</f>
        <v>241</v>
      </c>
      <c r="S53" s="2"/>
      <c r="T53" s="2"/>
      <c r="U53" s="2"/>
      <c r="V53" s="2"/>
      <c r="W53" s="5"/>
      <c r="Y53" s="15">
        <f>ROUND(X52/2,0)</f>
        <v>40</v>
      </c>
      <c r="AA53" s="15">
        <f>ROUND(Z52/2,0)</f>
        <v>162</v>
      </c>
    </row>
    <row r="54" spans="1:27" x14ac:dyDescent="0.2">
      <c r="A54" t="s">
        <v>14</v>
      </c>
      <c r="B54">
        <v>2015</v>
      </c>
      <c r="D54" s="2">
        <v>9</v>
      </c>
      <c r="E54" s="2" t="s">
        <v>2</v>
      </c>
      <c r="F54" s="2" t="s">
        <v>43</v>
      </c>
      <c r="G54" s="2">
        <v>324</v>
      </c>
      <c r="H54" s="2">
        <f>ROUND(G54/2,0)</f>
        <v>162</v>
      </c>
      <c r="I54" s="2">
        <v>9</v>
      </c>
      <c r="J54" s="2">
        <f>ROUND(I54/2,0)</f>
        <v>5</v>
      </c>
      <c r="K54" s="2">
        <f t="shared" si="3"/>
        <v>495</v>
      </c>
      <c r="L54" s="2">
        <f>ROUND(K54/2,0)</f>
        <v>248</v>
      </c>
      <c r="M54" s="2">
        <v>252</v>
      </c>
      <c r="N54" s="2">
        <f>ROUND(M54/2,0)</f>
        <v>126</v>
      </c>
      <c r="O54" s="2">
        <v>12</v>
      </c>
      <c r="P54" s="2">
        <f>ROUND(O54/2,0)</f>
        <v>6</v>
      </c>
      <c r="Q54" s="2">
        <f t="shared" si="1"/>
        <v>390</v>
      </c>
      <c r="R54" s="2">
        <f>ROUND(Q54/2,0)</f>
        <v>195</v>
      </c>
      <c r="S54" s="2">
        <v>12</v>
      </c>
      <c r="T54" s="2">
        <v>240</v>
      </c>
      <c r="U54" s="3">
        <v>0</v>
      </c>
      <c r="V54" s="2">
        <v>8</v>
      </c>
      <c r="W54" s="5">
        <f t="shared" si="2"/>
        <v>260</v>
      </c>
      <c r="X54" s="14">
        <v>59</v>
      </c>
      <c r="Y54" s="15">
        <f>ROUND(X54/2,0)</f>
        <v>30</v>
      </c>
      <c r="Z54" s="14">
        <v>244</v>
      </c>
      <c r="AA54" s="15">
        <f>ROUND(Z54/2,0)</f>
        <v>122</v>
      </c>
    </row>
    <row r="55" spans="1:27" x14ac:dyDescent="0.2">
      <c r="A55" t="s">
        <v>14</v>
      </c>
      <c r="B55">
        <v>2016</v>
      </c>
      <c r="D55" s="2"/>
      <c r="E55" s="2" t="s">
        <v>2</v>
      </c>
      <c r="F55" s="2" t="s">
        <v>43</v>
      </c>
      <c r="G55" s="2"/>
      <c r="H55" s="2">
        <f>ROUND(G54/2,0)</f>
        <v>162</v>
      </c>
      <c r="I55" s="2"/>
      <c r="J55" s="2">
        <f>ROUND(I54/2,0)</f>
        <v>5</v>
      </c>
      <c r="K55" s="2"/>
      <c r="L55" s="2">
        <f>ROUND(K54/2,0)</f>
        <v>248</v>
      </c>
      <c r="M55" s="2"/>
      <c r="N55" s="2">
        <f>ROUND(M54/2,0)</f>
        <v>126</v>
      </c>
      <c r="O55" s="2"/>
      <c r="P55" s="2">
        <f>ROUND(O54/2,0)</f>
        <v>6</v>
      </c>
      <c r="Q55" s="2"/>
      <c r="R55" s="2">
        <f>ROUND(Q54/2,0)</f>
        <v>195</v>
      </c>
      <c r="S55" s="2"/>
      <c r="T55" s="2"/>
      <c r="U55" s="3"/>
      <c r="V55" s="2"/>
      <c r="W55" s="5"/>
      <c r="Y55" s="15">
        <f>ROUND(X54/2,0)</f>
        <v>30</v>
      </c>
      <c r="AA55" s="15">
        <f>ROUND(Z54/2,0)</f>
        <v>122</v>
      </c>
    </row>
    <row r="56" spans="1:27" x14ac:dyDescent="0.2">
      <c r="A56" t="s">
        <v>4</v>
      </c>
      <c r="B56">
        <v>1999</v>
      </c>
      <c r="D56" s="2">
        <v>1</v>
      </c>
      <c r="E56" s="2" t="s">
        <v>2</v>
      </c>
      <c r="F56" s="2" t="s">
        <v>44</v>
      </c>
      <c r="G56" s="2">
        <v>614</v>
      </c>
      <c r="H56" s="2">
        <f>ROUND(G56/2,0)</f>
        <v>307</v>
      </c>
      <c r="I56" s="2">
        <v>17</v>
      </c>
      <c r="J56" s="2">
        <f>ROUND(I56/2,0)</f>
        <v>9</v>
      </c>
      <c r="K56" s="2">
        <f t="shared" si="3"/>
        <v>938</v>
      </c>
      <c r="L56" s="2">
        <f>ROUND(K56/2,0)</f>
        <v>469</v>
      </c>
      <c r="M56" s="2">
        <v>1123</v>
      </c>
      <c r="N56" s="2">
        <f>ROUND(M56/2,0)</f>
        <v>562</v>
      </c>
      <c r="O56" s="2">
        <v>12</v>
      </c>
      <c r="P56" s="2">
        <f>ROUND(O56/2,0)</f>
        <v>6</v>
      </c>
      <c r="Q56" s="2">
        <f t="shared" si="1"/>
        <v>1697</v>
      </c>
      <c r="R56" s="2">
        <f>ROUND(Q56/2,0)</f>
        <v>849</v>
      </c>
      <c r="S56" s="2">
        <v>8</v>
      </c>
      <c r="T56" s="2">
        <v>531</v>
      </c>
      <c r="U56" s="3">
        <v>0</v>
      </c>
      <c r="V56" s="2">
        <v>14</v>
      </c>
      <c r="W56" s="5">
        <f t="shared" si="2"/>
        <v>553</v>
      </c>
      <c r="X56" s="16" t="s">
        <v>69</v>
      </c>
      <c r="Y56" s="16" t="s">
        <v>69</v>
      </c>
      <c r="Z56" s="16" t="s">
        <v>69</v>
      </c>
      <c r="AA56" s="16" t="s">
        <v>69</v>
      </c>
    </row>
    <row r="57" spans="1:27" x14ac:dyDescent="0.2">
      <c r="A57" t="s">
        <v>4</v>
      </c>
      <c r="B57">
        <v>2000</v>
      </c>
      <c r="D57" s="2"/>
      <c r="E57" s="2" t="s">
        <v>2</v>
      </c>
      <c r="F57" s="2" t="s">
        <v>44</v>
      </c>
      <c r="G57" s="2"/>
      <c r="H57" s="2">
        <f>ROUND(G56/2,0)</f>
        <v>307</v>
      </c>
      <c r="I57" s="2"/>
      <c r="J57" s="2">
        <f>ROUND(I56/2,0)</f>
        <v>9</v>
      </c>
      <c r="K57" s="2"/>
      <c r="L57" s="2">
        <f>ROUND(K56/2,0)</f>
        <v>469</v>
      </c>
      <c r="M57" s="2"/>
      <c r="N57" s="2">
        <f>ROUND(M56/2,0)</f>
        <v>562</v>
      </c>
      <c r="O57" s="2"/>
      <c r="P57" s="2">
        <f>ROUND(O56/2,0)</f>
        <v>6</v>
      </c>
      <c r="Q57" s="2"/>
      <c r="R57" s="2">
        <f>ROUND(Q56/2,0)</f>
        <v>849</v>
      </c>
      <c r="S57" s="2"/>
      <c r="T57" s="2"/>
      <c r="U57" s="3"/>
      <c r="V57" s="2"/>
      <c r="W57" s="5"/>
      <c r="X57" s="16" t="s">
        <v>69</v>
      </c>
      <c r="Y57" s="16" t="s">
        <v>69</v>
      </c>
      <c r="Z57" s="16" t="s">
        <v>69</v>
      </c>
      <c r="AA57" s="16" t="s">
        <v>69</v>
      </c>
    </row>
    <row r="58" spans="1:27" x14ac:dyDescent="0.2">
      <c r="A58" t="s">
        <v>5</v>
      </c>
      <c r="B58">
        <v>2001</v>
      </c>
      <c r="D58" s="2">
        <v>2</v>
      </c>
      <c r="E58" s="2" t="s">
        <v>2</v>
      </c>
      <c r="F58" s="2" t="s">
        <v>44</v>
      </c>
      <c r="G58" s="2">
        <v>723</v>
      </c>
      <c r="H58" s="2">
        <f>ROUND(G58/2,0)</f>
        <v>362</v>
      </c>
      <c r="I58" s="2">
        <v>6</v>
      </c>
      <c r="J58" s="2">
        <f>ROUND(I58/2,0)</f>
        <v>3</v>
      </c>
      <c r="K58" s="2">
        <f t="shared" si="3"/>
        <v>1091</v>
      </c>
      <c r="L58" s="2">
        <f>ROUND(K58/2,0)</f>
        <v>546</v>
      </c>
      <c r="M58" s="2">
        <v>1272</v>
      </c>
      <c r="N58" s="2">
        <f>ROUND(M58/2,0)</f>
        <v>636</v>
      </c>
      <c r="O58" s="2">
        <v>10</v>
      </c>
      <c r="P58" s="2">
        <f>ROUND(O58/2,0)</f>
        <v>5</v>
      </c>
      <c r="Q58" s="2">
        <f t="shared" si="1"/>
        <v>1918</v>
      </c>
      <c r="R58" s="2">
        <f>ROUND(Q58/2,0)</f>
        <v>959</v>
      </c>
      <c r="S58" s="2">
        <v>7</v>
      </c>
      <c r="T58" s="2">
        <v>595</v>
      </c>
      <c r="U58" s="3">
        <v>0</v>
      </c>
      <c r="V58" s="2">
        <v>5</v>
      </c>
      <c r="W58" s="5">
        <f t="shared" si="2"/>
        <v>607</v>
      </c>
      <c r="X58" s="16" t="s">
        <v>69</v>
      </c>
      <c r="Y58" s="16" t="s">
        <v>69</v>
      </c>
      <c r="Z58" s="16" t="s">
        <v>69</v>
      </c>
      <c r="AA58" s="16" t="s">
        <v>69</v>
      </c>
    </row>
    <row r="59" spans="1:27" x14ac:dyDescent="0.2">
      <c r="A59" t="s">
        <v>5</v>
      </c>
      <c r="B59">
        <v>2002</v>
      </c>
      <c r="D59" s="2"/>
      <c r="E59" s="2" t="s">
        <v>2</v>
      </c>
      <c r="F59" s="2" t="s">
        <v>44</v>
      </c>
      <c r="G59" s="2"/>
      <c r="H59" s="2">
        <f>ROUND(G58/2,0)</f>
        <v>362</v>
      </c>
      <c r="I59" s="2"/>
      <c r="J59" s="2">
        <f>ROUND(I58/2,0)</f>
        <v>3</v>
      </c>
      <c r="K59" s="2"/>
      <c r="L59" s="2">
        <f>ROUND(K58/2,0)</f>
        <v>546</v>
      </c>
      <c r="M59" s="2"/>
      <c r="N59" s="2">
        <f>ROUND(M58/2,0)</f>
        <v>636</v>
      </c>
      <c r="O59" s="2"/>
      <c r="P59" s="2">
        <f>ROUND(O58/2,0)</f>
        <v>5</v>
      </c>
      <c r="Q59" s="2"/>
      <c r="R59" s="2">
        <f>ROUND(Q58/2,0)</f>
        <v>959</v>
      </c>
      <c r="S59" s="2"/>
      <c r="T59" s="2"/>
      <c r="U59" s="3"/>
      <c r="V59" s="2"/>
      <c r="W59" s="5"/>
      <c r="X59" s="16" t="s">
        <v>69</v>
      </c>
      <c r="Y59" s="16" t="s">
        <v>69</v>
      </c>
      <c r="Z59" s="16" t="s">
        <v>69</v>
      </c>
      <c r="AA59" s="16" t="s">
        <v>69</v>
      </c>
    </row>
    <row r="60" spans="1:27" x14ac:dyDescent="0.2">
      <c r="A60" t="s">
        <v>6</v>
      </c>
      <c r="B60">
        <v>2003</v>
      </c>
      <c r="D60" s="2">
        <v>3</v>
      </c>
      <c r="E60" s="2" t="s">
        <v>2</v>
      </c>
      <c r="F60" s="2" t="s">
        <v>44</v>
      </c>
      <c r="G60" s="2">
        <v>606</v>
      </c>
      <c r="H60" s="2">
        <f>ROUND(G60/2,0)</f>
        <v>303</v>
      </c>
      <c r="I60" s="2">
        <v>9</v>
      </c>
      <c r="J60" s="2">
        <f>ROUND(I60/2,0)</f>
        <v>5</v>
      </c>
      <c r="K60" s="2">
        <f t="shared" si="3"/>
        <v>918</v>
      </c>
      <c r="L60" s="2">
        <f>ROUND(K60/2,0)</f>
        <v>459</v>
      </c>
      <c r="M60" s="2">
        <v>1116</v>
      </c>
      <c r="N60" s="2">
        <f>ROUND(M60/2,0)</f>
        <v>558</v>
      </c>
      <c r="O60" s="2">
        <v>13</v>
      </c>
      <c r="P60" s="2">
        <f>ROUND(O60/2,0)</f>
        <v>7</v>
      </c>
      <c r="Q60" s="2">
        <f t="shared" si="1"/>
        <v>1687</v>
      </c>
      <c r="R60" s="2">
        <f>ROUND(Q60/2,0)</f>
        <v>844</v>
      </c>
      <c r="S60" s="2">
        <v>7</v>
      </c>
      <c r="T60" s="2">
        <v>517</v>
      </c>
      <c r="U60" s="2">
        <v>1</v>
      </c>
      <c r="V60" s="2">
        <v>7</v>
      </c>
      <c r="W60" s="5">
        <f t="shared" si="2"/>
        <v>532</v>
      </c>
      <c r="X60" s="16" t="s">
        <v>69</v>
      </c>
      <c r="Y60" s="16" t="s">
        <v>69</v>
      </c>
      <c r="Z60" s="16" t="s">
        <v>69</v>
      </c>
      <c r="AA60" s="16" t="s">
        <v>69</v>
      </c>
    </row>
    <row r="61" spans="1:27" x14ac:dyDescent="0.2">
      <c r="A61" t="s">
        <v>6</v>
      </c>
      <c r="B61">
        <v>2004</v>
      </c>
      <c r="D61" s="2"/>
      <c r="E61" s="2" t="s">
        <v>2</v>
      </c>
      <c r="F61" s="2" t="s">
        <v>44</v>
      </c>
      <c r="G61" s="2"/>
      <c r="H61" s="2">
        <f>ROUND(G60/2,0)</f>
        <v>303</v>
      </c>
      <c r="I61" s="2"/>
      <c r="J61" s="2">
        <f>ROUND(I60/2,0)</f>
        <v>5</v>
      </c>
      <c r="K61" s="2"/>
      <c r="L61" s="2">
        <f>ROUND(K60/2,0)</f>
        <v>459</v>
      </c>
      <c r="M61" s="2"/>
      <c r="N61" s="2">
        <f>ROUND(M60/2,0)</f>
        <v>558</v>
      </c>
      <c r="O61" s="2"/>
      <c r="P61" s="2">
        <f>ROUND(O60/2,0)</f>
        <v>7</v>
      </c>
      <c r="Q61" s="2"/>
      <c r="R61" s="2">
        <f>ROUND(Q60/2,0)</f>
        <v>844</v>
      </c>
      <c r="S61" s="2"/>
      <c r="T61" s="2"/>
      <c r="U61" s="2"/>
      <c r="V61" s="2"/>
      <c r="W61" s="5"/>
      <c r="X61" s="16" t="s">
        <v>69</v>
      </c>
      <c r="Y61" s="16" t="s">
        <v>69</v>
      </c>
      <c r="Z61" s="16" t="s">
        <v>69</v>
      </c>
      <c r="AA61" s="16" t="s">
        <v>69</v>
      </c>
    </row>
    <row r="62" spans="1:27" x14ac:dyDescent="0.2">
      <c r="A62" t="s">
        <v>7</v>
      </c>
      <c r="B62">
        <v>2005</v>
      </c>
      <c r="D62" s="2">
        <v>4</v>
      </c>
      <c r="E62" s="2" t="s">
        <v>2</v>
      </c>
      <c r="F62" s="2" t="s">
        <v>44</v>
      </c>
      <c r="G62" s="2">
        <v>707</v>
      </c>
      <c r="H62" s="2">
        <f>ROUND(G62/2,0)</f>
        <v>354</v>
      </c>
      <c r="I62" s="2">
        <v>8</v>
      </c>
      <c r="J62" s="2">
        <f>ROUND(I62/2,0)</f>
        <v>4</v>
      </c>
      <c r="K62" s="2">
        <f t="shared" si="3"/>
        <v>1069</v>
      </c>
      <c r="L62" s="2">
        <f>ROUND(K62/2,0)</f>
        <v>535</v>
      </c>
      <c r="M62" s="2">
        <v>1220</v>
      </c>
      <c r="N62" s="2">
        <f>ROUND(M62/2,0)</f>
        <v>610</v>
      </c>
      <c r="O62" s="2">
        <v>9</v>
      </c>
      <c r="P62" s="2">
        <f>ROUND(O62/2,0)</f>
        <v>5</v>
      </c>
      <c r="Q62" s="2">
        <f t="shared" si="1"/>
        <v>1839</v>
      </c>
      <c r="R62" s="2">
        <f>ROUND(Q62/2,0)</f>
        <v>920</v>
      </c>
      <c r="S62" s="2">
        <v>7</v>
      </c>
      <c r="T62" s="2">
        <v>605</v>
      </c>
      <c r="U62" s="3">
        <v>0</v>
      </c>
      <c r="V62" s="2">
        <v>5</v>
      </c>
      <c r="W62" s="5">
        <f t="shared" si="2"/>
        <v>617</v>
      </c>
      <c r="X62" s="16" t="s">
        <v>69</v>
      </c>
      <c r="Y62" s="16" t="s">
        <v>69</v>
      </c>
      <c r="Z62" s="16" t="s">
        <v>69</v>
      </c>
      <c r="AA62" s="16" t="s">
        <v>69</v>
      </c>
    </row>
    <row r="63" spans="1:27" x14ac:dyDescent="0.2">
      <c r="A63" t="s">
        <v>7</v>
      </c>
      <c r="B63">
        <v>2006</v>
      </c>
      <c r="D63" s="2"/>
      <c r="E63" s="2" t="s">
        <v>2</v>
      </c>
      <c r="F63" s="2" t="s">
        <v>44</v>
      </c>
      <c r="G63" s="2"/>
      <c r="H63" s="2">
        <f>ROUND(G62/2,0)</f>
        <v>354</v>
      </c>
      <c r="I63" s="2"/>
      <c r="J63" s="2">
        <f>ROUND(I62/2,0)</f>
        <v>4</v>
      </c>
      <c r="K63" s="2"/>
      <c r="L63" s="2">
        <f>ROUND(K62/2,0)</f>
        <v>535</v>
      </c>
      <c r="M63" s="2"/>
      <c r="N63" s="2">
        <f>ROUND(M62/2,0)</f>
        <v>610</v>
      </c>
      <c r="O63" s="2"/>
      <c r="P63" s="2">
        <f>ROUND(O62/2,0)</f>
        <v>5</v>
      </c>
      <c r="Q63" s="2"/>
      <c r="R63" s="2">
        <f>ROUND(Q62/2,0)</f>
        <v>920</v>
      </c>
      <c r="S63" s="2"/>
      <c r="T63" s="2"/>
      <c r="U63" s="3"/>
      <c r="V63" s="2"/>
      <c r="W63" s="5"/>
      <c r="X63" s="16" t="s">
        <v>69</v>
      </c>
      <c r="Y63" s="16" t="s">
        <v>69</v>
      </c>
      <c r="Z63" s="16" t="s">
        <v>69</v>
      </c>
      <c r="AA63" s="16" t="s">
        <v>69</v>
      </c>
    </row>
    <row r="64" spans="1:27" x14ac:dyDescent="0.2">
      <c r="A64" t="s">
        <v>8</v>
      </c>
      <c r="B64">
        <v>2007</v>
      </c>
      <c r="D64" s="2">
        <v>5</v>
      </c>
      <c r="E64" s="2" t="s">
        <v>2</v>
      </c>
      <c r="F64" s="2" t="s">
        <v>44</v>
      </c>
      <c r="G64" s="2">
        <v>676</v>
      </c>
      <c r="H64" s="2">
        <f>ROUND(G64/2,0)</f>
        <v>338</v>
      </c>
      <c r="I64" s="2">
        <v>9</v>
      </c>
      <c r="J64" s="2">
        <f>ROUND(I64/2,0)</f>
        <v>5</v>
      </c>
      <c r="K64" s="2">
        <f t="shared" si="3"/>
        <v>1023</v>
      </c>
      <c r="L64" s="2">
        <f>ROUND(K64/2,0)</f>
        <v>512</v>
      </c>
      <c r="M64" s="2">
        <v>1368</v>
      </c>
      <c r="N64" s="2">
        <f>ROUND(M64/2,0)</f>
        <v>684</v>
      </c>
      <c r="O64" s="2">
        <v>11</v>
      </c>
      <c r="P64" s="2">
        <f>ROUND(O64/2,0)</f>
        <v>6</v>
      </c>
      <c r="Q64" s="2">
        <f t="shared" si="1"/>
        <v>2063</v>
      </c>
      <c r="R64" s="2">
        <f>ROUND(Q64/2,0)</f>
        <v>1032</v>
      </c>
      <c r="S64" s="2">
        <v>10</v>
      </c>
      <c r="T64" s="2">
        <v>567</v>
      </c>
      <c r="U64" s="3">
        <v>0</v>
      </c>
      <c r="V64" s="2">
        <v>6</v>
      </c>
      <c r="W64" s="5">
        <f t="shared" si="2"/>
        <v>583</v>
      </c>
      <c r="X64" s="16" t="s">
        <v>69</v>
      </c>
      <c r="Y64" s="16" t="s">
        <v>69</v>
      </c>
      <c r="Z64" s="16" t="s">
        <v>69</v>
      </c>
      <c r="AA64" s="16" t="s">
        <v>69</v>
      </c>
    </row>
    <row r="65" spans="1:27" x14ac:dyDescent="0.2">
      <c r="A65" t="s">
        <v>8</v>
      </c>
      <c r="B65">
        <v>2008</v>
      </c>
      <c r="D65" s="2"/>
      <c r="E65" s="2" t="s">
        <v>2</v>
      </c>
      <c r="F65" s="2" t="s">
        <v>44</v>
      </c>
      <c r="G65" s="2"/>
      <c r="H65" s="2">
        <f>ROUND(G64/2,0)</f>
        <v>338</v>
      </c>
      <c r="I65" s="2"/>
      <c r="J65" s="2">
        <f>ROUND(I64/2,0)</f>
        <v>5</v>
      </c>
      <c r="K65" s="2"/>
      <c r="L65" s="2">
        <f>ROUND(K64/2,0)</f>
        <v>512</v>
      </c>
      <c r="M65" s="2"/>
      <c r="N65" s="2">
        <f>ROUND(M64/2,0)</f>
        <v>684</v>
      </c>
      <c r="O65" s="2"/>
      <c r="P65" s="2">
        <f>ROUND(O64/2,0)</f>
        <v>6</v>
      </c>
      <c r="Q65" s="2"/>
      <c r="R65" s="2">
        <f>ROUND(Q64/2,0)</f>
        <v>1032</v>
      </c>
      <c r="S65" s="2"/>
      <c r="T65" s="2"/>
      <c r="U65" s="3"/>
      <c r="V65" s="2"/>
      <c r="W65" s="5"/>
      <c r="X65" s="16" t="s">
        <v>69</v>
      </c>
      <c r="Y65" s="16" t="s">
        <v>69</v>
      </c>
      <c r="Z65" s="16" t="s">
        <v>69</v>
      </c>
      <c r="AA65" s="16" t="s">
        <v>69</v>
      </c>
    </row>
    <row r="66" spans="1:27" x14ac:dyDescent="0.2">
      <c r="A66" t="s">
        <v>11</v>
      </c>
      <c r="B66">
        <v>2009</v>
      </c>
      <c r="D66" s="2">
        <v>6</v>
      </c>
      <c r="E66" s="2" t="s">
        <v>2</v>
      </c>
      <c r="F66" s="2" t="s">
        <v>44</v>
      </c>
      <c r="G66" s="2">
        <v>776</v>
      </c>
      <c r="H66" s="2">
        <f>ROUND(G66/2,0)</f>
        <v>388</v>
      </c>
      <c r="I66" s="2">
        <v>10</v>
      </c>
      <c r="J66" s="2">
        <f>ROUND(I66/2,0)</f>
        <v>5</v>
      </c>
      <c r="K66" s="2">
        <f t="shared" si="3"/>
        <v>1174</v>
      </c>
      <c r="L66" s="2">
        <f>ROUND(K66/2,0)</f>
        <v>587</v>
      </c>
      <c r="M66" s="2">
        <v>1441</v>
      </c>
      <c r="N66" s="2">
        <f>ROUND(M66/2,0)</f>
        <v>721</v>
      </c>
      <c r="O66" s="2">
        <v>11</v>
      </c>
      <c r="P66" s="2">
        <f>ROUND(O66/2,0)</f>
        <v>6</v>
      </c>
      <c r="Q66" s="2">
        <f t="shared" si="1"/>
        <v>2173</v>
      </c>
      <c r="R66" s="2">
        <f>ROUND(Q66/2,0)</f>
        <v>1087</v>
      </c>
      <c r="S66" s="2">
        <v>6</v>
      </c>
      <c r="T66" s="2">
        <v>598</v>
      </c>
      <c r="U66" s="2">
        <v>1</v>
      </c>
      <c r="V66" s="2">
        <v>9</v>
      </c>
      <c r="W66" s="5">
        <f t="shared" si="2"/>
        <v>614</v>
      </c>
      <c r="X66" s="16" t="s">
        <v>69</v>
      </c>
      <c r="Y66" s="16" t="s">
        <v>69</v>
      </c>
      <c r="Z66" s="16" t="s">
        <v>69</v>
      </c>
      <c r="AA66" s="16" t="s">
        <v>69</v>
      </c>
    </row>
    <row r="67" spans="1:27" x14ac:dyDescent="0.2">
      <c r="A67" t="s">
        <v>11</v>
      </c>
      <c r="B67">
        <v>2010</v>
      </c>
      <c r="D67" s="2"/>
      <c r="E67" s="2" t="s">
        <v>2</v>
      </c>
      <c r="F67" s="2" t="s">
        <v>44</v>
      </c>
      <c r="G67" s="2"/>
      <c r="H67" s="2">
        <f>ROUND(G66/2,0)</f>
        <v>388</v>
      </c>
      <c r="I67" s="2"/>
      <c r="J67" s="2">
        <f>ROUND(I66/2,0)</f>
        <v>5</v>
      </c>
      <c r="K67" s="2"/>
      <c r="L67" s="2">
        <f>ROUND(K66/2,0)</f>
        <v>587</v>
      </c>
      <c r="M67" s="2"/>
      <c r="N67" s="2">
        <f>ROUND(M66/2,0)</f>
        <v>721</v>
      </c>
      <c r="O67" s="2"/>
      <c r="P67" s="2">
        <f>ROUND(O66/2,0)</f>
        <v>6</v>
      </c>
      <c r="Q67" s="2"/>
      <c r="R67" s="2">
        <f>ROUND(Q66/2,0)</f>
        <v>1087</v>
      </c>
      <c r="S67" s="2"/>
      <c r="T67" s="2"/>
      <c r="U67" s="2"/>
      <c r="V67" s="2"/>
      <c r="W67" s="5"/>
      <c r="X67" s="16" t="s">
        <v>69</v>
      </c>
      <c r="Y67" s="16" t="s">
        <v>69</v>
      </c>
      <c r="Z67" s="16" t="s">
        <v>69</v>
      </c>
      <c r="AA67" s="16" t="s">
        <v>69</v>
      </c>
    </row>
    <row r="68" spans="1:27" x14ac:dyDescent="0.2">
      <c r="A68" t="s">
        <v>12</v>
      </c>
      <c r="B68">
        <v>2011</v>
      </c>
      <c r="D68" s="2">
        <v>7</v>
      </c>
      <c r="E68" s="2" t="s">
        <v>2</v>
      </c>
      <c r="F68" s="2" t="s">
        <v>44</v>
      </c>
      <c r="G68" s="2">
        <v>664</v>
      </c>
      <c r="H68" s="2">
        <f>ROUND(G68/2,0)</f>
        <v>332</v>
      </c>
      <c r="I68" s="2">
        <v>8</v>
      </c>
      <c r="J68" s="2">
        <f>ROUND(I68/2,0)</f>
        <v>4</v>
      </c>
      <c r="K68" s="2">
        <f t="shared" si="3"/>
        <v>1004</v>
      </c>
      <c r="L68" s="2">
        <f>ROUND(K68/2,0)</f>
        <v>502</v>
      </c>
      <c r="M68" s="2">
        <v>1220</v>
      </c>
      <c r="N68" s="2">
        <f>ROUND(M68/2,0)</f>
        <v>610</v>
      </c>
      <c r="O68" s="2">
        <v>14</v>
      </c>
      <c r="P68" s="2">
        <f>ROUND(O68/2,0)</f>
        <v>7</v>
      </c>
      <c r="Q68" s="2">
        <f t="shared" si="1"/>
        <v>1844</v>
      </c>
      <c r="R68" s="2">
        <f>ROUND(Q68/2,0)</f>
        <v>922</v>
      </c>
      <c r="S68" s="2">
        <v>10</v>
      </c>
      <c r="T68" s="2">
        <v>494</v>
      </c>
      <c r="U68" s="3">
        <v>0</v>
      </c>
      <c r="V68" s="2">
        <v>5</v>
      </c>
      <c r="W68" s="5">
        <f t="shared" si="2"/>
        <v>509</v>
      </c>
      <c r="X68" s="16" t="s">
        <v>69</v>
      </c>
      <c r="Y68" s="16" t="s">
        <v>69</v>
      </c>
      <c r="Z68" s="16" t="s">
        <v>69</v>
      </c>
      <c r="AA68" s="16" t="s">
        <v>69</v>
      </c>
    </row>
    <row r="69" spans="1:27" x14ac:dyDescent="0.2">
      <c r="A69" t="s">
        <v>12</v>
      </c>
      <c r="B69">
        <v>2012</v>
      </c>
      <c r="D69" s="2"/>
      <c r="E69" s="2" t="s">
        <v>2</v>
      </c>
      <c r="F69" s="2" t="s">
        <v>44</v>
      </c>
      <c r="G69" s="2"/>
      <c r="H69" s="2">
        <f>ROUND(G68/2,0)</f>
        <v>332</v>
      </c>
      <c r="I69" s="2"/>
      <c r="J69" s="2">
        <f>ROUND(I68/2,0)</f>
        <v>4</v>
      </c>
      <c r="K69" s="2"/>
      <c r="L69" s="2">
        <f>ROUND(K68/2,0)</f>
        <v>502</v>
      </c>
      <c r="M69" s="2"/>
      <c r="N69" s="2">
        <f>ROUND(M68/2,0)</f>
        <v>610</v>
      </c>
      <c r="O69" s="2"/>
      <c r="P69" s="2">
        <f>ROUND(O68/2,0)</f>
        <v>7</v>
      </c>
      <c r="Q69" s="2"/>
      <c r="R69" s="2">
        <f>ROUND(Q68/2,0)</f>
        <v>922</v>
      </c>
      <c r="S69" s="2"/>
      <c r="T69" s="2"/>
      <c r="U69" s="3"/>
      <c r="V69" s="2"/>
      <c r="W69" s="5"/>
      <c r="X69" s="16" t="s">
        <v>69</v>
      </c>
      <c r="Y69" s="16" t="s">
        <v>69</v>
      </c>
      <c r="Z69" s="16" t="s">
        <v>69</v>
      </c>
      <c r="AA69" s="16" t="s">
        <v>69</v>
      </c>
    </row>
    <row r="70" spans="1:27" x14ac:dyDescent="0.2">
      <c r="A70" t="s">
        <v>13</v>
      </c>
      <c r="B70">
        <v>2013</v>
      </c>
      <c r="D70" s="2">
        <v>8</v>
      </c>
      <c r="E70" s="2" t="s">
        <v>2</v>
      </c>
      <c r="F70" s="2" t="s">
        <v>44</v>
      </c>
      <c r="G70" s="2">
        <v>700</v>
      </c>
      <c r="H70" s="2">
        <f>ROUND(G70/2,0)</f>
        <v>350</v>
      </c>
      <c r="I70" s="2">
        <v>6</v>
      </c>
      <c r="J70" s="2">
        <f>ROUND(I70/2,0)</f>
        <v>3</v>
      </c>
      <c r="K70" s="2">
        <f t="shared" si="3"/>
        <v>1056</v>
      </c>
      <c r="L70" s="2">
        <f>ROUND(K70/2,0)</f>
        <v>528</v>
      </c>
      <c r="M70" s="2">
        <v>1451</v>
      </c>
      <c r="N70" s="2">
        <f>ROUND(M70/2,0)</f>
        <v>726</v>
      </c>
      <c r="O70" s="2">
        <v>17</v>
      </c>
      <c r="P70" s="2">
        <f>ROUND(O70/2,0)</f>
        <v>9</v>
      </c>
      <c r="Q70" s="2">
        <f t="shared" si="1"/>
        <v>2194</v>
      </c>
      <c r="R70" s="2">
        <f>ROUND(Q70/2,0)</f>
        <v>1097</v>
      </c>
      <c r="S70" s="2">
        <v>10</v>
      </c>
      <c r="T70" s="2">
        <v>581</v>
      </c>
      <c r="U70" s="3">
        <v>0</v>
      </c>
      <c r="V70" s="2">
        <v>5</v>
      </c>
      <c r="W70" s="5">
        <f>SUM(S70:V70)</f>
        <v>596</v>
      </c>
      <c r="X70" s="16">
        <v>175</v>
      </c>
      <c r="Y70" s="15">
        <f>ROUND(X70/2,0)</f>
        <v>88</v>
      </c>
      <c r="Z70" s="16">
        <v>593</v>
      </c>
      <c r="AA70" s="15">
        <f>ROUND(Z70/2,0)</f>
        <v>297</v>
      </c>
    </row>
    <row r="71" spans="1:27" x14ac:dyDescent="0.2">
      <c r="A71" t="s">
        <v>13</v>
      </c>
      <c r="B71">
        <v>2014</v>
      </c>
      <c r="D71" s="2"/>
      <c r="E71" s="2" t="s">
        <v>2</v>
      </c>
      <c r="F71" s="2" t="s">
        <v>44</v>
      </c>
      <c r="G71" s="2"/>
      <c r="H71" s="2">
        <f>ROUND(G70/2,0)</f>
        <v>350</v>
      </c>
      <c r="I71" s="2"/>
      <c r="J71" s="2">
        <f>ROUND(I70/2,0)</f>
        <v>3</v>
      </c>
      <c r="K71" s="2"/>
      <c r="L71" s="2">
        <f>ROUND(K70/2,0)</f>
        <v>528</v>
      </c>
      <c r="M71" s="2"/>
      <c r="N71" s="2">
        <f>ROUND(M70/2,0)</f>
        <v>726</v>
      </c>
      <c r="O71" s="2"/>
      <c r="P71" s="2">
        <f>ROUND(O70/2,0)</f>
        <v>9</v>
      </c>
      <c r="Q71" s="2"/>
      <c r="R71" s="2">
        <f>ROUND(Q70/2,0)</f>
        <v>1097</v>
      </c>
      <c r="S71" s="2"/>
      <c r="T71" s="2"/>
      <c r="U71" s="3"/>
      <c r="V71" s="2"/>
      <c r="W71" s="5"/>
      <c r="Y71" s="15">
        <f>ROUND(X70/2,0)</f>
        <v>88</v>
      </c>
      <c r="AA71" s="15">
        <f>ROUND(Z70/2,0)</f>
        <v>297</v>
      </c>
    </row>
    <row r="72" spans="1:27" x14ac:dyDescent="0.2">
      <c r="A72" t="s">
        <v>14</v>
      </c>
      <c r="B72">
        <v>2015</v>
      </c>
      <c r="D72" s="2">
        <v>9</v>
      </c>
      <c r="E72" s="2" t="s">
        <v>2</v>
      </c>
      <c r="F72" s="2" t="s">
        <v>44</v>
      </c>
      <c r="G72" s="2">
        <v>727</v>
      </c>
      <c r="H72" s="2">
        <f>ROUND(G72/2,0)</f>
        <v>364</v>
      </c>
      <c r="I72" s="2">
        <v>10</v>
      </c>
      <c r="J72" s="2">
        <f>ROUND(I72/2,0)</f>
        <v>5</v>
      </c>
      <c r="K72" s="2">
        <f t="shared" si="3"/>
        <v>1101</v>
      </c>
      <c r="L72" s="2">
        <f>ROUND(K72/2,0)</f>
        <v>551</v>
      </c>
      <c r="M72" s="2">
        <v>1392</v>
      </c>
      <c r="N72" s="2">
        <f>ROUND(M72/2,0)</f>
        <v>696</v>
      </c>
      <c r="O72" s="2">
        <v>13</v>
      </c>
      <c r="P72" s="2">
        <f>ROUND(O72/2,0)</f>
        <v>7</v>
      </c>
      <c r="Q72" s="2">
        <f t="shared" si="1"/>
        <v>2101</v>
      </c>
      <c r="R72" s="2">
        <f>ROUND(Q72/2,0)</f>
        <v>1051</v>
      </c>
      <c r="S72" s="2">
        <v>9</v>
      </c>
      <c r="T72" s="2">
        <v>572</v>
      </c>
      <c r="U72" s="3">
        <v>0</v>
      </c>
      <c r="V72" s="2">
        <v>7</v>
      </c>
      <c r="W72" s="5">
        <f t="shared" si="2"/>
        <v>588</v>
      </c>
      <c r="X72" s="15">
        <v>161</v>
      </c>
      <c r="Y72" s="15">
        <f>ROUND(X72/2,0)</f>
        <v>81</v>
      </c>
      <c r="Z72" s="14">
        <v>563</v>
      </c>
      <c r="AA72" s="15">
        <f>ROUND(Z72/2,0)</f>
        <v>282</v>
      </c>
    </row>
    <row r="73" spans="1:27" x14ac:dyDescent="0.2">
      <c r="A73" t="s">
        <v>14</v>
      </c>
      <c r="B73">
        <v>2016</v>
      </c>
      <c r="D73" s="2"/>
      <c r="E73" s="2" t="s">
        <v>2</v>
      </c>
      <c r="F73" s="2" t="s">
        <v>44</v>
      </c>
      <c r="G73" s="2"/>
      <c r="H73" s="2">
        <f>ROUND(G72/2,0)</f>
        <v>364</v>
      </c>
      <c r="I73" s="2"/>
      <c r="J73" s="2">
        <f>ROUND(I72/2,0)</f>
        <v>5</v>
      </c>
      <c r="K73" s="2"/>
      <c r="L73" s="2">
        <f>ROUND(K72/2,0)</f>
        <v>551</v>
      </c>
      <c r="M73" s="2"/>
      <c r="N73" s="2">
        <f>ROUND(M72/2,0)</f>
        <v>696</v>
      </c>
      <c r="O73" s="2"/>
      <c r="P73" s="2">
        <f>ROUND(O72/2,0)</f>
        <v>7</v>
      </c>
      <c r="Q73" s="2"/>
      <c r="R73" s="2">
        <f>ROUND(Q72/2,0)</f>
        <v>1051</v>
      </c>
      <c r="S73" s="2"/>
      <c r="T73" s="2"/>
      <c r="U73" s="3"/>
      <c r="V73" s="2"/>
      <c r="W73" s="5"/>
      <c r="X73" s="16"/>
      <c r="Y73" s="15">
        <f>ROUND(X72/2,0)</f>
        <v>81</v>
      </c>
      <c r="AA73" s="15">
        <f>ROUND(Z72/2,0)</f>
        <v>282</v>
      </c>
    </row>
    <row r="74" spans="1:27" x14ac:dyDescent="0.2">
      <c r="A74" t="s">
        <v>4</v>
      </c>
      <c r="B74">
        <v>1999</v>
      </c>
      <c r="D74" s="2">
        <v>1</v>
      </c>
      <c r="E74" s="2" t="s">
        <v>3</v>
      </c>
      <c r="F74" s="2" t="s">
        <v>43</v>
      </c>
      <c r="G74" s="2">
        <v>385</v>
      </c>
      <c r="H74" s="2">
        <f>ROUND(G74/2,0)</f>
        <v>193</v>
      </c>
      <c r="I74" s="2">
        <v>29</v>
      </c>
      <c r="J74" s="2">
        <f>ROUND(I74/2,0)</f>
        <v>15</v>
      </c>
      <c r="K74" s="2">
        <f t="shared" si="3"/>
        <v>607</v>
      </c>
      <c r="L74" s="2">
        <f>ROUND(K74/2,0)</f>
        <v>304</v>
      </c>
      <c r="M74" s="2">
        <v>130</v>
      </c>
      <c r="N74" s="2">
        <f>ROUND(M74/2,0)</f>
        <v>65</v>
      </c>
      <c r="O74" s="2">
        <v>1</v>
      </c>
      <c r="P74" s="2">
        <f>ROUND(O74/2,0)</f>
        <v>1</v>
      </c>
      <c r="Q74" s="2">
        <f t="shared" si="1"/>
        <v>196</v>
      </c>
      <c r="R74" s="2">
        <f>ROUND(Q74/2,0)</f>
        <v>98</v>
      </c>
      <c r="S74" s="2">
        <v>1</v>
      </c>
      <c r="T74" s="2">
        <v>124</v>
      </c>
      <c r="U74" s="3">
        <v>0</v>
      </c>
      <c r="V74" s="2">
        <v>5</v>
      </c>
      <c r="W74" s="5">
        <f t="shared" si="2"/>
        <v>130</v>
      </c>
      <c r="X74" s="16" t="s">
        <v>69</v>
      </c>
      <c r="Y74" s="16" t="s">
        <v>69</v>
      </c>
      <c r="Z74" s="16" t="s">
        <v>69</v>
      </c>
      <c r="AA74" s="16" t="s">
        <v>69</v>
      </c>
    </row>
    <row r="75" spans="1:27" x14ac:dyDescent="0.2">
      <c r="A75" t="s">
        <v>4</v>
      </c>
      <c r="B75">
        <v>2000</v>
      </c>
      <c r="D75" s="2"/>
      <c r="E75" s="2" t="s">
        <v>3</v>
      </c>
      <c r="F75" s="2" t="s">
        <v>43</v>
      </c>
      <c r="G75" s="2"/>
      <c r="H75" s="2">
        <f>ROUND(G74/2,0)</f>
        <v>193</v>
      </c>
      <c r="I75" s="2"/>
      <c r="J75" s="2">
        <f>ROUND(I74/2,0)</f>
        <v>15</v>
      </c>
      <c r="K75" s="2"/>
      <c r="L75" s="2">
        <f>ROUND(K74/2,0)</f>
        <v>304</v>
      </c>
      <c r="M75" s="2"/>
      <c r="N75" s="2">
        <f>ROUND(M74/2,0)</f>
        <v>65</v>
      </c>
      <c r="O75" s="2"/>
      <c r="P75" s="2">
        <f>ROUND(O74/2,0)</f>
        <v>1</v>
      </c>
      <c r="Q75" s="2"/>
      <c r="R75" s="2">
        <f>ROUND(Q74/2,0)</f>
        <v>98</v>
      </c>
      <c r="S75" s="2"/>
      <c r="T75" s="2"/>
      <c r="U75" s="3"/>
      <c r="V75" s="2"/>
      <c r="W75" s="5"/>
      <c r="X75" s="16" t="s">
        <v>69</v>
      </c>
      <c r="Y75" s="16" t="s">
        <v>69</v>
      </c>
      <c r="Z75" s="16" t="s">
        <v>69</v>
      </c>
      <c r="AA75" s="16" t="s">
        <v>69</v>
      </c>
    </row>
    <row r="76" spans="1:27" x14ac:dyDescent="0.2">
      <c r="A76" t="s">
        <v>5</v>
      </c>
      <c r="B76">
        <v>2001</v>
      </c>
      <c r="D76" s="2">
        <v>2</v>
      </c>
      <c r="E76" s="2" t="s">
        <v>3</v>
      </c>
      <c r="F76" s="2" t="s">
        <v>43</v>
      </c>
      <c r="G76" s="2">
        <v>475</v>
      </c>
      <c r="H76" s="2">
        <f>ROUND(G76/2,0)</f>
        <v>238</v>
      </c>
      <c r="I76" s="2">
        <v>16</v>
      </c>
      <c r="J76" s="2">
        <f>ROUND(I76/2,0)</f>
        <v>8</v>
      </c>
      <c r="K76" s="2">
        <f t="shared" si="3"/>
        <v>729</v>
      </c>
      <c r="L76" s="2">
        <f>ROUND(K76/2,0)</f>
        <v>365</v>
      </c>
      <c r="M76" s="2">
        <v>173</v>
      </c>
      <c r="N76" s="2">
        <f>ROUND(M76/2,0)</f>
        <v>87</v>
      </c>
      <c r="O76" s="2">
        <v>4</v>
      </c>
      <c r="P76" s="2">
        <f>ROUND(O76/2,0)</f>
        <v>2</v>
      </c>
      <c r="Q76" s="2">
        <f t="shared" si="1"/>
        <v>264</v>
      </c>
      <c r="R76" s="2">
        <f>ROUND(Q76/2,0)</f>
        <v>132</v>
      </c>
      <c r="S76" s="2">
        <v>4</v>
      </c>
      <c r="T76" s="2">
        <v>163</v>
      </c>
      <c r="U76" s="3">
        <v>0</v>
      </c>
      <c r="V76" s="2">
        <v>6</v>
      </c>
      <c r="W76" s="5">
        <f t="shared" si="2"/>
        <v>173</v>
      </c>
      <c r="X76" s="16" t="s">
        <v>69</v>
      </c>
      <c r="Y76" s="16" t="s">
        <v>69</v>
      </c>
      <c r="Z76" s="16" t="s">
        <v>69</v>
      </c>
      <c r="AA76" s="16" t="s">
        <v>69</v>
      </c>
    </row>
    <row r="77" spans="1:27" x14ac:dyDescent="0.2">
      <c r="A77" t="s">
        <v>5</v>
      </c>
      <c r="B77">
        <v>2002</v>
      </c>
      <c r="D77" s="2"/>
      <c r="E77" s="2" t="s">
        <v>3</v>
      </c>
      <c r="F77" s="2" t="s">
        <v>43</v>
      </c>
      <c r="G77" s="2"/>
      <c r="H77" s="2">
        <f>ROUND(G76/2,0)</f>
        <v>238</v>
      </c>
      <c r="I77" s="2"/>
      <c r="J77" s="2">
        <f>ROUND(I76/2,0)</f>
        <v>8</v>
      </c>
      <c r="K77" s="2"/>
      <c r="L77" s="2">
        <f>ROUND(K76/2,0)</f>
        <v>365</v>
      </c>
      <c r="M77" s="2"/>
      <c r="N77" s="2">
        <f>ROUND(M76/2,0)</f>
        <v>87</v>
      </c>
      <c r="O77" s="2"/>
      <c r="P77" s="2">
        <f>ROUND(O76/2,0)</f>
        <v>2</v>
      </c>
      <c r="Q77" s="2"/>
      <c r="R77" s="2">
        <f>ROUND(Q76/2,0)</f>
        <v>132</v>
      </c>
      <c r="S77" s="2"/>
      <c r="T77" s="2"/>
      <c r="U77" s="3"/>
      <c r="V77" s="2"/>
      <c r="W77" s="5"/>
      <c r="X77" s="16" t="s">
        <v>69</v>
      </c>
      <c r="Y77" s="16" t="s">
        <v>69</v>
      </c>
      <c r="Z77" s="16" t="s">
        <v>69</v>
      </c>
      <c r="AA77" s="16" t="s">
        <v>69</v>
      </c>
    </row>
    <row r="78" spans="1:27" x14ac:dyDescent="0.2">
      <c r="A78" t="s">
        <v>6</v>
      </c>
      <c r="B78">
        <v>2003</v>
      </c>
      <c r="D78" s="2">
        <v>3</v>
      </c>
      <c r="E78" s="2" t="s">
        <v>3</v>
      </c>
      <c r="F78" s="2" t="s">
        <v>43</v>
      </c>
      <c r="G78" s="2">
        <v>442</v>
      </c>
      <c r="H78" s="2">
        <f>ROUND(G78/2,0)</f>
        <v>221</v>
      </c>
      <c r="I78" s="2">
        <v>20</v>
      </c>
      <c r="J78" s="2">
        <f>ROUND(I78/2,0)</f>
        <v>10</v>
      </c>
      <c r="K78" s="2">
        <f t="shared" si="3"/>
        <v>683</v>
      </c>
      <c r="L78" s="2">
        <f>ROUND(K78/2,0)</f>
        <v>342</v>
      </c>
      <c r="M78" s="2">
        <v>173</v>
      </c>
      <c r="N78" s="2">
        <f>ROUND(M78/2,0)</f>
        <v>87</v>
      </c>
      <c r="O78" s="2">
        <v>1</v>
      </c>
      <c r="P78" s="2">
        <f>ROUND(O78/2,0)</f>
        <v>1</v>
      </c>
      <c r="Q78" s="2">
        <f t="shared" si="1"/>
        <v>261</v>
      </c>
      <c r="R78" s="2">
        <f>ROUND(Q78/2,0)</f>
        <v>131</v>
      </c>
      <c r="S78" s="2">
        <v>1</v>
      </c>
      <c r="T78" s="2">
        <v>164</v>
      </c>
      <c r="U78" s="3">
        <v>0</v>
      </c>
      <c r="V78" s="2">
        <v>5</v>
      </c>
      <c r="W78" s="5">
        <f t="shared" si="2"/>
        <v>170</v>
      </c>
      <c r="X78" s="16" t="s">
        <v>69</v>
      </c>
      <c r="Y78" s="16" t="s">
        <v>69</v>
      </c>
      <c r="Z78" s="16" t="s">
        <v>69</v>
      </c>
      <c r="AA78" s="16" t="s">
        <v>69</v>
      </c>
    </row>
    <row r="79" spans="1:27" x14ac:dyDescent="0.2">
      <c r="A79" t="s">
        <v>6</v>
      </c>
      <c r="B79">
        <v>2004</v>
      </c>
      <c r="D79" s="2"/>
      <c r="E79" s="2" t="s">
        <v>3</v>
      </c>
      <c r="F79" s="2" t="s">
        <v>43</v>
      </c>
      <c r="G79" s="2"/>
      <c r="H79" s="2">
        <f>ROUND(G78/2,0)</f>
        <v>221</v>
      </c>
      <c r="I79" s="2"/>
      <c r="J79" s="2">
        <f>ROUND(I78/2,0)</f>
        <v>10</v>
      </c>
      <c r="K79" s="2"/>
      <c r="L79" s="2">
        <f>ROUND(K78/2,0)</f>
        <v>342</v>
      </c>
      <c r="M79" s="2"/>
      <c r="N79" s="2">
        <f>ROUND(M78/2,0)</f>
        <v>87</v>
      </c>
      <c r="O79" s="2"/>
      <c r="P79" s="2">
        <f>ROUND(O78/2,0)</f>
        <v>1</v>
      </c>
      <c r="Q79" s="2"/>
      <c r="R79" s="2">
        <f>ROUND(Q78/2,0)</f>
        <v>131</v>
      </c>
      <c r="S79" s="2"/>
      <c r="T79" s="2"/>
      <c r="U79" s="3"/>
      <c r="V79" s="2"/>
      <c r="W79" s="5"/>
      <c r="X79" s="16" t="s">
        <v>69</v>
      </c>
      <c r="Y79" s="16" t="s">
        <v>69</v>
      </c>
      <c r="Z79" s="16" t="s">
        <v>69</v>
      </c>
      <c r="AA79" s="16" t="s">
        <v>69</v>
      </c>
    </row>
    <row r="80" spans="1:27" x14ac:dyDescent="0.2">
      <c r="A80" t="s">
        <v>7</v>
      </c>
      <c r="B80">
        <v>2005</v>
      </c>
      <c r="D80" s="2">
        <v>4</v>
      </c>
      <c r="E80" s="2" t="s">
        <v>3</v>
      </c>
      <c r="F80" s="2" t="s">
        <v>43</v>
      </c>
      <c r="G80" s="2">
        <v>447</v>
      </c>
      <c r="H80" s="2">
        <f>ROUND(G80/2,0)</f>
        <v>224</v>
      </c>
      <c r="I80" s="2">
        <v>19</v>
      </c>
      <c r="J80" s="2">
        <f>ROUND(I80/2,0)</f>
        <v>10</v>
      </c>
      <c r="K80" s="2">
        <f t="shared" si="3"/>
        <v>690</v>
      </c>
      <c r="L80" s="2">
        <f>ROUND(K80/2,0)</f>
        <v>345</v>
      </c>
      <c r="M80" s="2">
        <v>155</v>
      </c>
      <c r="N80" s="2">
        <f>ROUND(M80/2,0)</f>
        <v>78</v>
      </c>
      <c r="O80" s="2">
        <v>7</v>
      </c>
      <c r="P80" s="2">
        <f>ROUND(O80/2,0)</f>
        <v>4</v>
      </c>
      <c r="Q80" s="2">
        <f t="shared" si="1"/>
        <v>240</v>
      </c>
      <c r="R80" s="2">
        <f>ROUND(Q80/2,0)</f>
        <v>120</v>
      </c>
      <c r="S80" s="2">
        <v>6</v>
      </c>
      <c r="T80" s="2">
        <v>150</v>
      </c>
      <c r="U80" s="2">
        <v>1</v>
      </c>
      <c r="V80" s="2">
        <v>3</v>
      </c>
      <c r="W80" s="5">
        <f t="shared" si="2"/>
        <v>160</v>
      </c>
      <c r="X80" s="16" t="s">
        <v>69</v>
      </c>
      <c r="Y80" s="16" t="s">
        <v>69</v>
      </c>
      <c r="Z80" s="16" t="s">
        <v>69</v>
      </c>
      <c r="AA80" s="16" t="s">
        <v>69</v>
      </c>
    </row>
    <row r="81" spans="1:27" x14ac:dyDescent="0.2">
      <c r="A81" t="s">
        <v>7</v>
      </c>
      <c r="B81">
        <v>2006</v>
      </c>
      <c r="D81" s="2"/>
      <c r="E81" s="2" t="s">
        <v>3</v>
      </c>
      <c r="F81" s="2" t="s">
        <v>43</v>
      </c>
      <c r="G81" s="2"/>
      <c r="H81" s="2">
        <f>ROUND(G80/2,0)</f>
        <v>224</v>
      </c>
      <c r="I81" s="2"/>
      <c r="J81" s="2">
        <f>ROUND(I80/2,0)</f>
        <v>10</v>
      </c>
      <c r="K81" s="2"/>
      <c r="L81" s="2">
        <f>ROUND(K80/2,0)</f>
        <v>345</v>
      </c>
      <c r="M81" s="2"/>
      <c r="N81" s="2">
        <f>ROUND(M80/2,0)</f>
        <v>78</v>
      </c>
      <c r="O81" s="2"/>
      <c r="P81" s="2">
        <f>ROUND(O80/2,0)</f>
        <v>4</v>
      </c>
      <c r="Q81" s="2"/>
      <c r="R81" s="2">
        <f>ROUND(Q80/2,0)</f>
        <v>120</v>
      </c>
      <c r="S81" s="2"/>
      <c r="T81" s="2"/>
      <c r="U81" s="2"/>
      <c r="V81" s="2"/>
      <c r="W81" s="5"/>
      <c r="X81" s="16" t="s">
        <v>69</v>
      </c>
      <c r="Y81" s="16" t="s">
        <v>69</v>
      </c>
      <c r="Z81" s="16" t="s">
        <v>69</v>
      </c>
      <c r="AA81" s="16" t="s">
        <v>69</v>
      </c>
    </row>
    <row r="82" spans="1:27" x14ac:dyDescent="0.2">
      <c r="A82" t="s">
        <v>8</v>
      </c>
      <c r="B82">
        <v>2007</v>
      </c>
      <c r="D82" s="2">
        <v>5</v>
      </c>
      <c r="E82" s="2" t="s">
        <v>3</v>
      </c>
      <c r="F82" s="2" t="s">
        <v>43</v>
      </c>
      <c r="G82" s="2">
        <v>345</v>
      </c>
      <c r="H82" s="2">
        <f>ROUND(G82/2,0)</f>
        <v>173</v>
      </c>
      <c r="I82" s="2">
        <v>14</v>
      </c>
      <c r="J82" s="2">
        <f>ROUND(I82/2,0)</f>
        <v>7</v>
      </c>
      <c r="K82" s="2">
        <f t="shared" si="3"/>
        <v>532</v>
      </c>
      <c r="L82" s="2">
        <f>ROUND(K82/2,0)</f>
        <v>266</v>
      </c>
      <c r="M82" s="2">
        <v>164</v>
      </c>
      <c r="N82" s="2">
        <f>ROUND(M82/2,0)</f>
        <v>82</v>
      </c>
      <c r="O82" s="2">
        <v>8</v>
      </c>
      <c r="P82" s="2">
        <f>ROUND(O82/2,0)</f>
        <v>4</v>
      </c>
      <c r="Q82" s="2">
        <f t="shared" si="1"/>
        <v>254</v>
      </c>
      <c r="R82" s="2">
        <f>ROUND(Q82/2,0)</f>
        <v>127</v>
      </c>
      <c r="S82" s="2">
        <v>7</v>
      </c>
      <c r="T82" s="2">
        <v>156</v>
      </c>
      <c r="U82" s="2">
        <v>1</v>
      </c>
      <c r="V82" s="2">
        <v>5</v>
      </c>
      <c r="W82" s="5">
        <f t="shared" si="2"/>
        <v>169</v>
      </c>
      <c r="X82" s="16" t="s">
        <v>69</v>
      </c>
      <c r="Y82" s="16" t="s">
        <v>69</v>
      </c>
      <c r="Z82" s="16" t="s">
        <v>69</v>
      </c>
      <c r="AA82" s="16" t="s">
        <v>69</v>
      </c>
    </row>
    <row r="83" spans="1:27" x14ac:dyDescent="0.2">
      <c r="A83" t="s">
        <v>8</v>
      </c>
      <c r="B83">
        <v>2008</v>
      </c>
      <c r="D83" s="2"/>
      <c r="E83" s="2" t="s">
        <v>3</v>
      </c>
      <c r="F83" s="2" t="s">
        <v>43</v>
      </c>
      <c r="G83" s="2"/>
      <c r="H83" s="2">
        <f>ROUND(G82/2,0)</f>
        <v>173</v>
      </c>
      <c r="I83" s="2"/>
      <c r="J83" s="2">
        <f>ROUND(I82/2,0)</f>
        <v>7</v>
      </c>
      <c r="K83" s="2"/>
      <c r="L83" s="2">
        <f>ROUND(K82/2,0)</f>
        <v>266</v>
      </c>
      <c r="M83" s="2"/>
      <c r="N83" s="2">
        <f>ROUND(M82/2,0)</f>
        <v>82</v>
      </c>
      <c r="O83" s="2"/>
      <c r="P83" s="2">
        <f>ROUND(O82/2,0)</f>
        <v>4</v>
      </c>
      <c r="Q83" s="2"/>
      <c r="R83" s="2">
        <f>ROUND(Q82/2,0)</f>
        <v>127</v>
      </c>
      <c r="S83" s="2"/>
      <c r="T83" s="2"/>
      <c r="U83" s="2"/>
      <c r="V83" s="2"/>
      <c r="W83" s="5"/>
      <c r="X83" s="16" t="s">
        <v>69</v>
      </c>
      <c r="Y83" s="16" t="s">
        <v>69</v>
      </c>
      <c r="Z83" s="16" t="s">
        <v>69</v>
      </c>
      <c r="AA83" s="16" t="s">
        <v>69</v>
      </c>
    </row>
    <row r="84" spans="1:27" x14ac:dyDescent="0.2">
      <c r="A84" t="s">
        <v>11</v>
      </c>
      <c r="B84">
        <v>2009</v>
      </c>
      <c r="D84" s="2">
        <v>6</v>
      </c>
      <c r="E84" s="2" t="s">
        <v>3</v>
      </c>
      <c r="F84" s="2" t="s">
        <v>43</v>
      </c>
      <c r="G84" s="2">
        <v>396</v>
      </c>
      <c r="H84" s="2">
        <f>ROUND(G84/2,0)</f>
        <v>198</v>
      </c>
      <c r="I84" s="2">
        <v>14</v>
      </c>
      <c r="J84" s="2">
        <f>ROUND(I84/2,0)</f>
        <v>7</v>
      </c>
      <c r="K84" s="2">
        <f t="shared" si="3"/>
        <v>608</v>
      </c>
      <c r="L84" s="2">
        <f>ROUND(K84/2,0)</f>
        <v>304</v>
      </c>
      <c r="M84" s="2">
        <v>314</v>
      </c>
      <c r="N84" s="2">
        <f>ROUND(M84/2,0)</f>
        <v>157</v>
      </c>
      <c r="O84" s="2">
        <v>4</v>
      </c>
      <c r="P84" s="2">
        <f>ROUND(O84/2,0)</f>
        <v>2</v>
      </c>
      <c r="Q84" s="2">
        <f t="shared" si="1"/>
        <v>475</v>
      </c>
      <c r="R84" s="2">
        <f>ROUND(Q84/2,0)</f>
        <v>238</v>
      </c>
      <c r="S84" s="2">
        <v>4</v>
      </c>
      <c r="T84" s="2">
        <v>302</v>
      </c>
      <c r="U84" s="3">
        <v>0</v>
      </c>
      <c r="V84" s="2">
        <v>11</v>
      </c>
      <c r="W84" s="5">
        <f t="shared" si="2"/>
        <v>317</v>
      </c>
      <c r="X84" s="16" t="s">
        <v>69</v>
      </c>
      <c r="Y84" s="16" t="s">
        <v>69</v>
      </c>
      <c r="Z84" s="16" t="s">
        <v>69</v>
      </c>
      <c r="AA84" s="16" t="s">
        <v>69</v>
      </c>
    </row>
    <row r="85" spans="1:27" x14ac:dyDescent="0.2">
      <c r="A85" t="s">
        <v>11</v>
      </c>
      <c r="B85">
        <v>2010</v>
      </c>
      <c r="D85" s="2"/>
      <c r="E85" s="2" t="s">
        <v>3</v>
      </c>
      <c r="F85" s="2" t="s">
        <v>43</v>
      </c>
      <c r="G85" s="2"/>
      <c r="H85" s="2">
        <f>ROUND(G84/2,0)</f>
        <v>198</v>
      </c>
      <c r="I85" s="2"/>
      <c r="J85" s="2">
        <f>ROUND(I84/2,0)</f>
        <v>7</v>
      </c>
      <c r="K85" s="2"/>
      <c r="L85" s="2">
        <f>ROUND(K84/2,0)</f>
        <v>304</v>
      </c>
      <c r="M85" s="2"/>
      <c r="N85" s="2">
        <f>ROUND(M84/2,0)</f>
        <v>157</v>
      </c>
      <c r="O85" s="2"/>
      <c r="P85" s="2">
        <f>ROUND(O84/2,0)</f>
        <v>2</v>
      </c>
      <c r="Q85" s="2"/>
      <c r="R85" s="2">
        <f>ROUND(Q84/2,0)</f>
        <v>238</v>
      </c>
      <c r="S85" s="2"/>
      <c r="T85" s="2"/>
      <c r="U85" s="3"/>
      <c r="V85" s="2"/>
      <c r="W85" s="5"/>
      <c r="X85" s="16" t="s">
        <v>69</v>
      </c>
      <c r="Y85" s="16" t="s">
        <v>69</v>
      </c>
      <c r="Z85" s="16" t="s">
        <v>69</v>
      </c>
      <c r="AA85" s="16" t="s">
        <v>69</v>
      </c>
    </row>
    <row r="86" spans="1:27" x14ac:dyDescent="0.2">
      <c r="A86" t="s">
        <v>12</v>
      </c>
      <c r="B86">
        <v>2011</v>
      </c>
      <c r="D86" s="2">
        <v>7</v>
      </c>
      <c r="E86" s="2" t="s">
        <v>3</v>
      </c>
      <c r="F86" s="2" t="s">
        <v>43</v>
      </c>
      <c r="G86" s="2">
        <v>405</v>
      </c>
      <c r="H86" s="2">
        <f>ROUND(G86/2,0)</f>
        <v>203</v>
      </c>
      <c r="I86" s="2">
        <v>17</v>
      </c>
      <c r="J86" s="2">
        <f>ROUND(I86/2,0)</f>
        <v>9</v>
      </c>
      <c r="K86" s="2">
        <f t="shared" si="3"/>
        <v>625</v>
      </c>
      <c r="L86" s="2">
        <f>ROUND(K86/2,0)</f>
        <v>313</v>
      </c>
      <c r="M86" s="2">
        <v>317</v>
      </c>
      <c r="N86" s="2">
        <f>ROUND(M86/2,0)</f>
        <v>159</v>
      </c>
      <c r="O86" s="2">
        <v>10</v>
      </c>
      <c r="P86" s="2">
        <f>ROUND(O86/2,0)</f>
        <v>5</v>
      </c>
      <c r="Q86" s="2">
        <f t="shared" si="1"/>
        <v>486</v>
      </c>
      <c r="R86" s="2">
        <f>ROUND(Q86/2,0)</f>
        <v>243</v>
      </c>
      <c r="S86" s="2">
        <v>10</v>
      </c>
      <c r="T86" s="2">
        <v>297</v>
      </c>
      <c r="U86" s="3">
        <v>0</v>
      </c>
      <c r="V86" s="2">
        <v>16</v>
      </c>
      <c r="W86" s="5">
        <f t="shared" si="2"/>
        <v>323</v>
      </c>
      <c r="X86" s="16" t="s">
        <v>69</v>
      </c>
      <c r="Y86" s="16" t="s">
        <v>69</v>
      </c>
      <c r="Z86" s="16" t="s">
        <v>69</v>
      </c>
      <c r="AA86" s="16" t="s">
        <v>69</v>
      </c>
    </row>
    <row r="87" spans="1:27" x14ac:dyDescent="0.2">
      <c r="A87" t="s">
        <v>12</v>
      </c>
      <c r="B87">
        <v>2012</v>
      </c>
      <c r="D87" s="2"/>
      <c r="E87" s="2" t="s">
        <v>3</v>
      </c>
      <c r="F87" s="2" t="s">
        <v>43</v>
      </c>
      <c r="G87" s="2"/>
      <c r="H87" s="2">
        <f>ROUND(G86/2,0)</f>
        <v>203</v>
      </c>
      <c r="I87" s="2"/>
      <c r="J87" s="2">
        <f>ROUND(I86/2,0)</f>
        <v>9</v>
      </c>
      <c r="K87" s="2"/>
      <c r="L87" s="2">
        <f>ROUND(K86/2,0)</f>
        <v>313</v>
      </c>
      <c r="M87" s="2"/>
      <c r="N87" s="2">
        <f>ROUND(M86/2,0)</f>
        <v>159</v>
      </c>
      <c r="O87" s="2"/>
      <c r="P87" s="2">
        <f>ROUND(O86/2,0)</f>
        <v>5</v>
      </c>
      <c r="Q87" s="2"/>
      <c r="R87" s="2">
        <f>ROUND(Q86/2,0)</f>
        <v>243</v>
      </c>
      <c r="S87" s="2"/>
      <c r="T87" s="2"/>
      <c r="U87" s="3"/>
      <c r="V87" s="2"/>
      <c r="W87" s="5"/>
      <c r="X87" s="16" t="s">
        <v>69</v>
      </c>
      <c r="Y87" s="16" t="s">
        <v>69</v>
      </c>
      <c r="Z87" s="16" t="s">
        <v>69</v>
      </c>
      <c r="AA87" s="16" t="s">
        <v>69</v>
      </c>
    </row>
    <row r="88" spans="1:27" x14ac:dyDescent="0.2">
      <c r="A88" t="s">
        <v>13</v>
      </c>
      <c r="B88">
        <v>2013</v>
      </c>
      <c r="D88" s="2">
        <v>8</v>
      </c>
      <c r="E88" s="2" t="s">
        <v>3</v>
      </c>
      <c r="F88" s="2" t="s">
        <v>43</v>
      </c>
      <c r="G88" s="2">
        <v>378</v>
      </c>
      <c r="H88" s="2">
        <f>ROUND(G88/2,0)</f>
        <v>189</v>
      </c>
      <c r="I88" s="2">
        <v>14</v>
      </c>
      <c r="J88" s="2">
        <f>ROUND(I88/2,0)</f>
        <v>7</v>
      </c>
      <c r="K88" s="2">
        <f t="shared" si="3"/>
        <v>581</v>
      </c>
      <c r="L88" s="2">
        <f>ROUND(K88/2,0)</f>
        <v>291</v>
      </c>
      <c r="M88" s="2">
        <v>300</v>
      </c>
      <c r="N88" s="2">
        <f>ROUND(M88/2,0)</f>
        <v>150</v>
      </c>
      <c r="O88" s="2">
        <v>8</v>
      </c>
      <c r="P88" s="2">
        <f>ROUND(O88/2,0)</f>
        <v>4</v>
      </c>
      <c r="Q88" s="2">
        <f t="shared" si="1"/>
        <v>458</v>
      </c>
      <c r="R88" s="2">
        <f>ROUND(Q88/2,0)</f>
        <v>229</v>
      </c>
      <c r="S88" s="2">
        <v>6</v>
      </c>
      <c r="T88" s="2">
        <v>282</v>
      </c>
      <c r="U88" s="2">
        <v>1</v>
      </c>
      <c r="V88" s="2">
        <v>12</v>
      </c>
      <c r="W88" s="5">
        <f t="shared" si="2"/>
        <v>301</v>
      </c>
      <c r="X88" s="16" t="s">
        <v>69</v>
      </c>
      <c r="Y88" s="16" t="s">
        <v>69</v>
      </c>
      <c r="Z88" s="16" t="s">
        <v>69</v>
      </c>
      <c r="AA88" s="16" t="s">
        <v>69</v>
      </c>
    </row>
    <row r="89" spans="1:27" x14ac:dyDescent="0.2">
      <c r="A89" t="s">
        <v>13</v>
      </c>
      <c r="B89">
        <v>2014</v>
      </c>
      <c r="D89" s="2"/>
      <c r="E89" s="2" t="s">
        <v>3</v>
      </c>
      <c r="F89" s="2" t="s">
        <v>43</v>
      </c>
      <c r="G89" s="2"/>
      <c r="H89" s="2">
        <f>ROUND(G88/2,0)</f>
        <v>189</v>
      </c>
      <c r="I89" s="2"/>
      <c r="J89" s="2">
        <f>ROUND(I88/2,0)</f>
        <v>7</v>
      </c>
      <c r="K89" s="2"/>
      <c r="L89" s="2">
        <f>ROUND(K88/2,0)</f>
        <v>291</v>
      </c>
      <c r="M89" s="2"/>
      <c r="N89" s="2">
        <f>ROUND(M88/2,0)</f>
        <v>150</v>
      </c>
      <c r="O89" s="2"/>
      <c r="P89" s="2">
        <f>ROUND(O88/2,0)</f>
        <v>4</v>
      </c>
      <c r="Q89" s="2"/>
      <c r="R89" s="2">
        <f>ROUND(Q88/2,0)</f>
        <v>229</v>
      </c>
      <c r="S89" s="2"/>
      <c r="T89" s="2"/>
      <c r="U89" s="2"/>
      <c r="V89" s="2"/>
      <c r="W89" s="5"/>
      <c r="X89" s="16" t="s">
        <v>69</v>
      </c>
      <c r="Y89" s="16" t="s">
        <v>69</v>
      </c>
      <c r="Z89" s="16" t="s">
        <v>69</v>
      </c>
      <c r="AA89" s="16" t="s">
        <v>69</v>
      </c>
    </row>
    <row r="90" spans="1:27" x14ac:dyDescent="0.2">
      <c r="A90" t="s">
        <v>14</v>
      </c>
      <c r="B90">
        <v>2015</v>
      </c>
      <c r="D90" s="2">
        <v>9</v>
      </c>
      <c r="E90" s="2" t="s">
        <v>3</v>
      </c>
      <c r="F90" s="2" t="s">
        <v>43</v>
      </c>
      <c r="G90" s="2">
        <v>316</v>
      </c>
      <c r="H90" s="2">
        <f>ROUND(G90/2,0)</f>
        <v>158</v>
      </c>
      <c r="I90" s="2">
        <v>15</v>
      </c>
      <c r="J90" s="2">
        <f>ROUND(I90/2,0)</f>
        <v>8</v>
      </c>
      <c r="K90" s="2">
        <f t="shared" si="3"/>
        <v>489</v>
      </c>
      <c r="L90" s="2">
        <f>ROUND(K90/2,0)</f>
        <v>245</v>
      </c>
      <c r="M90" s="2">
        <v>224</v>
      </c>
      <c r="N90" s="2">
        <f>ROUND(M90/2,0)</f>
        <v>112</v>
      </c>
      <c r="O90" s="2">
        <v>7</v>
      </c>
      <c r="P90" s="2">
        <f>ROUND(O90/2,0)</f>
        <v>4</v>
      </c>
      <c r="Q90" s="2">
        <f t="shared" si="1"/>
        <v>343</v>
      </c>
      <c r="R90" s="2">
        <f>ROUND(Q90/2,0)</f>
        <v>172</v>
      </c>
      <c r="S90" s="2">
        <v>6</v>
      </c>
      <c r="T90" s="2">
        <v>209</v>
      </c>
      <c r="U90" s="3">
        <v>0</v>
      </c>
      <c r="V90" s="2">
        <v>13</v>
      </c>
      <c r="W90" s="5">
        <f t="shared" si="2"/>
        <v>228</v>
      </c>
      <c r="X90" s="16" t="s">
        <v>69</v>
      </c>
      <c r="Y90" s="16" t="s">
        <v>69</v>
      </c>
      <c r="Z90" s="16" t="s">
        <v>69</v>
      </c>
      <c r="AA90" s="16" t="s">
        <v>69</v>
      </c>
    </row>
    <row r="91" spans="1:27" x14ac:dyDescent="0.2">
      <c r="A91" t="s">
        <v>14</v>
      </c>
      <c r="B91">
        <v>2016</v>
      </c>
      <c r="D91" s="2"/>
      <c r="E91" s="2" t="s">
        <v>3</v>
      </c>
      <c r="F91" s="2" t="s">
        <v>43</v>
      </c>
      <c r="G91" s="2"/>
      <c r="H91" s="2">
        <f>ROUND(G90/2,0)</f>
        <v>158</v>
      </c>
      <c r="I91" s="2"/>
      <c r="J91" s="2">
        <f>ROUND(I90/2,0)</f>
        <v>8</v>
      </c>
      <c r="K91" s="2"/>
      <c r="L91" s="2">
        <f>ROUND(K90/2,0)</f>
        <v>245</v>
      </c>
      <c r="M91" s="2"/>
      <c r="N91" s="2">
        <f>ROUND(M90/2,0)</f>
        <v>112</v>
      </c>
      <c r="O91" s="2"/>
      <c r="P91" s="2">
        <f>ROUND(O90/2,0)</f>
        <v>4</v>
      </c>
      <c r="Q91" s="2"/>
      <c r="R91" s="2">
        <f>ROUND(Q90/2,0)</f>
        <v>172</v>
      </c>
      <c r="S91" s="2"/>
      <c r="T91" s="2"/>
      <c r="U91" s="3"/>
      <c r="V91" s="2"/>
      <c r="W91" s="5"/>
      <c r="X91" s="16" t="s">
        <v>69</v>
      </c>
      <c r="Y91" s="16" t="s">
        <v>69</v>
      </c>
      <c r="Z91" s="16" t="s">
        <v>69</v>
      </c>
      <c r="AA91" s="16" t="s">
        <v>69</v>
      </c>
    </row>
    <row r="92" spans="1:27" x14ac:dyDescent="0.2">
      <c r="A92" t="s">
        <v>4</v>
      </c>
      <c r="B92">
        <v>1999</v>
      </c>
      <c r="D92" s="2">
        <v>1</v>
      </c>
      <c r="E92" s="2" t="s">
        <v>3</v>
      </c>
      <c r="F92" s="2" t="s">
        <v>44</v>
      </c>
      <c r="G92" s="2">
        <v>481</v>
      </c>
      <c r="H92" s="2">
        <f>ROUND(G92/2,0)</f>
        <v>241</v>
      </c>
      <c r="I92" s="2">
        <v>10</v>
      </c>
      <c r="J92" s="2">
        <f>ROUND(I92/2,0)</f>
        <v>5</v>
      </c>
      <c r="K92" s="2">
        <f t="shared" si="3"/>
        <v>732</v>
      </c>
      <c r="L92" s="2">
        <f>ROUND(K92/2,0)</f>
        <v>366</v>
      </c>
      <c r="M92" s="2">
        <v>948</v>
      </c>
      <c r="N92" s="2">
        <f>ROUND(M92/2,0)</f>
        <v>474</v>
      </c>
      <c r="O92" s="2">
        <v>6</v>
      </c>
      <c r="P92" s="2">
        <f>ROUND(O92/2,0)</f>
        <v>3</v>
      </c>
      <c r="Q92" s="2">
        <f t="shared" si="1"/>
        <v>1428</v>
      </c>
      <c r="R92" s="2">
        <f>ROUND(Q92/2,0)</f>
        <v>714</v>
      </c>
      <c r="S92" s="2">
        <v>2</v>
      </c>
      <c r="T92" s="2">
        <v>413</v>
      </c>
      <c r="U92" s="3">
        <v>0</v>
      </c>
      <c r="V92" s="2">
        <v>8</v>
      </c>
      <c r="W92" s="5">
        <f t="shared" si="2"/>
        <v>423</v>
      </c>
      <c r="X92" s="16" t="s">
        <v>69</v>
      </c>
      <c r="Y92" s="16" t="s">
        <v>69</v>
      </c>
      <c r="Z92" s="16" t="s">
        <v>69</v>
      </c>
      <c r="AA92" s="16" t="s">
        <v>69</v>
      </c>
    </row>
    <row r="93" spans="1:27" x14ac:dyDescent="0.2">
      <c r="A93" t="s">
        <v>4</v>
      </c>
      <c r="B93">
        <v>2000</v>
      </c>
      <c r="D93" s="2"/>
      <c r="E93" s="2" t="s">
        <v>3</v>
      </c>
      <c r="F93" s="2" t="s">
        <v>44</v>
      </c>
      <c r="G93" s="2"/>
      <c r="H93" s="2">
        <f>ROUND(G92/2,0)</f>
        <v>241</v>
      </c>
      <c r="I93" s="2"/>
      <c r="J93" s="2">
        <f>ROUND(I92/2,0)</f>
        <v>5</v>
      </c>
      <c r="K93" s="2"/>
      <c r="L93" s="2">
        <f>ROUND(K92/2,0)</f>
        <v>366</v>
      </c>
      <c r="M93" s="2"/>
      <c r="N93" s="2">
        <f>ROUND(M92/2,0)</f>
        <v>474</v>
      </c>
      <c r="O93" s="2"/>
      <c r="P93" s="2">
        <f>ROUND(O92/2,0)</f>
        <v>3</v>
      </c>
      <c r="Q93" s="2"/>
      <c r="R93" s="2">
        <f>ROUND(Q92/2,0)</f>
        <v>714</v>
      </c>
      <c r="S93" s="2"/>
      <c r="T93" s="2"/>
      <c r="U93" s="3"/>
      <c r="V93" s="2"/>
      <c r="W93" s="5"/>
      <c r="X93" s="16" t="s">
        <v>69</v>
      </c>
      <c r="Y93" s="16" t="s">
        <v>69</v>
      </c>
      <c r="Z93" s="16" t="s">
        <v>69</v>
      </c>
      <c r="AA93" s="16" t="s">
        <v>69</v>
      </c>
    </row>
    <row r="94" spans="1:27" x14ac:dyDescent="0.2">
      <c r="A94" t="s">
        <v>5</v>
      </c>
      <c r="B94">
        <v>2001</v>
      </c>
      <c r="D94" s="2">
        <v>2</v>
      </c>
      <c r="E94" s="2" t="s">
        <v>3</v>
      </c>
      <c r="F94" s="2" t="s">
        <v>44</v>
      </c>
      <c r="G94" s="2">
        <v>539</v>
      </c>
      <c r="H94" s="2">
        <f>ROUND(G94/2,0)</f>
        <v>270</v>
      </c>
      <c r="I94" s="2">
        <v>12</v>
      </c>
      <c r="J94" s="2">
        <f>ROUND(I94/2,0)</f>
        <v>6</v>
      </c>
      <c r="K94" s="2">
        <f t="shared" si="3"/>
        <v>821</v>
      </c>
      <c r="L94" s="2">
        <f>ROUND(K94/2,0)</f>
        <v>411</v>
      </c>
      <c r="M94" s="2">
        <v>1212</v>
      </c>
      <c r="N94" s="2">
        <f>ROUND(M94/2,0)</f>
        <v>606</v>
      </c>
      <c r="O94" s="2">
        <v>3</v>
      </c>
      <c r="P94" s="2">
        <f>ROUND(O94/2,0)</f>
        <v>2</v>
      </c>
      <c r="Q94" s="2">
        <f t="shared" si="1"/>
        <v>1821</v>
      </c>
      <c r="R94" s="2">
        <f>ROUND(Q94/2,0)</f>
        <v>911</v>
      </c>
      <c r="S94" s="2">
        <v>2</v>
      </c>
      <c r="T94" s="2">
        <v>463</v>
      </c>
      <c r="U94" s="3">
        <v>0</v>
      </c>
      <c r="V94" s="2">
        <v>11</v>
      </c>
      <c r="W94" s="5">
        <f t="shared" si="2"/>
        <v>476</v>
      </c>
      <c r="X94" s="16" t="s">
        <v>69</v>
      </c>
      <c r="Y94" s="16" t="s">
        <v>69</v>
      </c>
      <c r="Z94" s="16" t="s">
        <v>69</v>
      </c>
      <c r="AA94" s="16" t="s">
        <v>69</v>
      </c>
    </row>
    <row r="95" spans="1:27" x14ac:dyDescent="0.2">
      <c r="A95" t="s">
        <v>5</v>
      </c>
      <c r="B95">
        <v>2002</v>
      </c>
      <c r="D95" s="2"/>
      <c r="E95" s="2" t="s">
        <v>3</v>
      </c>
      <c r="F95" s="2" t="s">
        <v>44</v>
      </c>
      <c r="G95" s="2"/>
      <c r="H95" s="2">
        <f>ROUND(G94/2,0)</f>
        <v>270</v>
      </c>
      <c r="I95" s="2"/>
      <c r="J95" s="2">
        <f>ROUND(I94/2,0)</f>
        <v>6</v>
      </c>
      <c r="K95" s="2"/>
      <c r="L95" s="2">
        <f>ROUND(K94/2,0)</f>
        <v>411</v>
      </c>
      <c r="M95" s="2"/>
      <c r="N95" s="2">
        <f>ROUND(M94/2,0)</f>
        <v>606</v>
      </c>
      <c r="O95" s="2"/>
      <c r="P95" s="2">
        <f>ROUND(O94/2,0)</f>
        <v>2</v>
      </c>
      <c r="Q95" s="2"/>
      <c r="R95" s="2">
        <f>ROUND(Q94/2,0)</f>
        <v>911</v>
      </c>
      <c r="S95" s="2"/>
      <c r="T95" s="2"/>
      <c r="U95" s="3"/>
      <c r="V95" s="2"/>
      <c r="W95" s="5"/>
      <c r="X95" s="16" t="s">
        <v>69</v>
      </c>
      <c r="Y95" s="16" t="s">
        <v>69</v>
      </c>
      <c r="Z95" s="16" t="s">
        <v>69</v>
      </c>
      <c r="AA95" s="16" t="s">
        <v>69</v>
      </c>
    </row>
    <row r="96" spans="1:27" x14ac:dyDescent="0.2">
      <c r="A96" t="s">
        <v>6</v>
      </c>
      <c r="B96">
        <v>2003</v>
      </c>
      <c r="D96" s="2">
        <v>3</v>
      </c>
      <c r="E96" s="2" t="s">
        <v>3</v>
      </c>
      <c r="F96" s="2" t="s">
        <v>44</v>
      </c>
      <c r="G96" s="2">
        <v>521</v>
      </c>
      <c r="H96" s="2">
        <f>ROUND(G96/2,0)</f>
        <v>261</v>
      </c>
      <c r="I96" s="2">
        <v>8</v>
      </c>
      <c r="J96" s="2">
        <f>ROUND(I96/2,0)</f>
        <v>4</v>
      </c>
      <c r="K96" s="2">
        <f t="shared" si="3"/>
        <v>790</v>
      </c>
      <c r="L96" s="2">
        <f>ROUND(K96/2,0)</f>
        <v>395</v>
      </c>
      <c r="M96" s="2">
        <v>1039</v>
      </c>
      <c r="N96" s="2">
        <f>ROUND(M96/2,0)</f>
        <v>520</v>
      </c>
      <c r="O96" s="2">
        <v>4</v>
      </c>
      <c r="P96" s="2">
        <f>ROUND(O96/2,0)</f>
        <v>2</v>
      </c>
      <c r="Q96" s="2">
        <f t="shared" si="1"/>
        <v>1563</v>
      </c>
      <c r="R96" s="2">
        <f>ROUND(Q96/2,0)</f>
        <v>782</v>
      </c>
      <c r="S96" s="2">
        <v>4</v>
      </c>
      <c r="T96" s="2">
        <v>459</v>
      </c>
      <c r="U96" s="3">
        <v>0</v>
      </c>
      <c r="V96" s="2">
        <v>7</v>
      </c>
      <c r="W96" s="5">
        <f t="shared" si="2"/>
        <v>470</v>
      </c>
      <c r="X96" s="16" t="s">
        <v>69</v>
      </c>
      <c r="Y96" s="16" t="s">
        <v>69</v>
      </c>
      <c r="Z96" s="16" t="s">
        <v>69</v>
      </c>
      <c r="AA96" s="16" t="s">
        <v>69</v>
      </c>
    </row>
    <row r="97" spans="1:27" x14ac:dyDescent="0.2">
      <c r="A97" t="s">
        <v>6</v>
      </c>
      <c r="B97">
        <v>2004</v>
      </c>
      <c r="D97" s="2"/>
      <c r="E97" s="2" t="s">
        <v>3</v>
      </c>
      <c r="F97" s="2" t="s">
        <v>44</v>
      </c>
      <c r="G97" s="2"/>
      <c r="H97" s="2">
        <f>ROUND(G96/2,0)</f>
        <v>261</v>
      </c>
      <c r="I97" s="2"/>
      <c r="J97" s="2">
        <f>ROUND(I96/2,0)</f>
        <v>4</v>
      </c>
      <c r="K97" s="2"/>
      <c r="L97" s="2">
        <f>ROUND(K96/2,0)</f>
        <v>395</v>
      </c>
      <c r="M97" s="2"/>
      <c r="N97" s="2">
        <f>ROUND(M96/2,0)</f>
        <v>520</v>
      </c>
      <c r="O97" s="2"/>
      <c r="P97" s="2">
        <f>ROUND(O96/2,0)</f>
        <v>2</v>
      </c>
      <c r="Q97" s="2"/>
      <c r="R97" s="2">
        <f>ROUND(Q96/2,0)</f>
        <v>782</v>
      </c>
      <c r="S97" s="2"/>
      <c r="T97" s="2"/>
      <c r="U97" s="3"/>
      <c r="V97" s="2"/>
      <c r="W97" s="5"/>
      <c r="X97" s="16" t="s">
        <v>69</v>
      </c>
      <c r="Y97" s="16" t="s">
        <v>69</v>
      </c>
      <c r="Z97" s="16" t="s">
        <v>69</v>
      </c>
      <c r="AA97" s="16" t="s">
        <v>69</v>
      </c>
    </row>
    <row r="98" spans="1:27" x14ac:dyDescent="0.2">
      <c r="A98" t="s">
        <v>7</v>
      </c>
      <c r="B98">
        <v>2005</v>
      </c>
      <c r="D98" s="2">
        <v>4</v>
      </c>
      <c r="E98" s="2" t="s">
        <v>3</v>
      </c>
      <c r="F98" s="2" t="s">
        <v>44</v>
      </c>
      <c r="G98" s="2">
        <v>559</v>
      </c>
      <c r="H98" s="2">
        <f>ROUND(G98/2,0)</f>
        <v>280</v>
      </c>
      <c r="I98" s="2">
        <v>12</v>
      </c>
      <c r="J98" s="2">
        <f>ROUND(I98/2,0)</f>
        <v>6</v>
      </c>
      <c r="K98" s="2">
        <f t="shared" si="3"/>
        <v>851</v>
      </c>
      <c r="L98" s="2">
        <f>ROUND(K98/2,0)</f>
        <v>426</v>
      </c>
      <c r="M98" s="2">
        <v>971</v>
      </c>
      <c r="N98" s="2">
        <f>ROUND(M98/2,0)</f>
        <v>486</v>
      </c>
      <c r="O98" s="2">
        <v>8</v>
      </c>
      <c r="P98" s="2">
        <f>ROUND(O98/2,0)</f>
        <v>4</v>
      </c>
      <c r="Q98" s="2">
        <f t="shared" si="1"/>
        <v>1465</v>
      </c>
      <c r="R98" s="2">
        <f>ROUND(Q98/2,0)</f>
        <v>733</v>
      </c>
      <c r="S98" s="2">
        <v>3</v>
      </c>
      <c r="T98" s="2">
        <v>428</v>
      </c>
      <c r="U98" s="3">
        <v>0</v>
      </c>
      <c r="V98" s="2">
        <v>10</v>
      </c>
      <c r="W98" s="5">
        <f t="shared" si="2"/>
        <v>441</v>
      </c>
      <c r="X98" s="16" t="s">
        <v>69</v>
      </c>
      <c r="Y98" s="16" t="s">
        <v>69</v>
      </c>
      <c r="Z98" s="16" t="s">
        <v>69</v>
      </c>
      <c r="AA98" s="16" t="s">
        <v>69</v>
      </c>
    </row>
    <row r="99" spans="1:27" x14ac:dyDescent="0.2">
      <c r="A99" t="s">
        <v>7</v>
      </c>
      <c r="B99">
        <v>2006</v>
      </c>
      <c r="D99" s="2"/>
      <c r="E99" s="2" t="s">
        <v>3</v>
      </c>
      <c r="F99" s="2" t="s">
        <v>44</v>
      </c>
      <c r="G99" s="2"/>
      <c r="H99" s="2">
        <f>ROUND(G98/2,0)</f>
        <v>280</v>
      </c>
      <c r="I99" s="2"/>
      <c r="J99" s="2">
        <f>ROUND(I98/2,0)</f>
        <v>6</v>
      </c>
      <c r="K99" s="2"/>
      <c r="L99" s="2">
        <f>ROUND(K98/2,0)</f>
        <v>426</v>
      </c>
      <c r="M99" s="2"/>
      <c r="N99" s="2">
        <f>ROUND(M98/2,0)</f>
        <v>486</v>
      </c>
      <c r="O99" s="2"/>
      <c r="P99" s="2">
        <f>ROUND(O98/2,0)</f>
        <v>4</v>
      </c>
      <c r="Q99" s="2"/>
      <c r="R99" s="2">
        <f>ROUND(Q98/2,0)</f>
        <v>733</v>
      </c>
      <c r="S99" s="2"/>
      <c r="T99" s="2"/>
      <c r="U99" s="3"/>
      <c r="V99" s="2"/>
      <c r="W99" s="5"/>
      <c r="X99" s="16" t="s">
        <v>69</v>
      </c>
      <c r="Y99" s="16" t="s">
        <v>69</v>
      </c>
      <c r="Z99" s="16" t="s">
        <v>69</v>
      </c>
      <c r="AA99" s="16" t="s">
        <v>69</v>
      </c>
    </row>
    <row r="100" spans="1:27" x14ac:dyDescent="0.2">
      <c r="A100" t="s">
        <v>8</v>
      </c>
      <c r="B100">
        <v>2007</v>
      </c>
      <c r="D100" s="2">
        <v>5</v>
      </c>
      <c r="E100" s="2" t="s">
        <v>3</v>
      </c>
      <c r="F100" s="2" t="s">
        <v>44</v>
      </c>
      <c r="G100" s="2">
        <v>657</v>
      </c>
      <c r="H100" s="2">
        <f>ROUND(G100/2,0)</f>
        <v>329</v>
      </c>
      <c r="I100" s="2">
        <v>8</v>
      </c>
      <c r="J100" s="2">
        <f>ROUND(I100/2,0)</f>
        <v>4</v>
      </c>
      <c r="K100" s="2">
        <f t="shared" si="3"/>
        <v>994</v>
      </c>
      <c r="L100" s="2">
        <f>ROUND(K100/2,0)</f>
        <v>497</v>
      </c>
      <c r="M100" s="2">
        <v>1222</v>
      </c>
      <c r="N100" s="2">
        <f>ROUND(M100/2,0)</f>
        <v>611</v>
      </c>
      <c r="O100" s="2">
        <v>8</v>
      </c>
      <c r="P100" s="2">
        <f>ROUND(O100/2,0)</f>
        <v>4</v>
      </c>
      <c r="Q100" s="2">
        <f t="shared" si="1"/>
        <v>1841</v>
      </c>
      <c r="R100" s="2">
        <f>ROUND(Q100/2,0)</f>
        <v>921</v>
      </c>
      <c r="S100" s="2">
        <v>5</v>
      </c>
      <c r="T100" s="2">
        <v>534</v>
      </c>
      <c r="U100" s="3">
        <v>0</v>
      </c>
      <c r="V100" s="2">
        <v>5</v>
      </c>
      <c r="W100" s="5">
        <f t="shared" si="2"/>
        <v>544</v>
      </c>
      <c r="X100" s="16" t="s">
        <v>69</v>
      </c>
      <c r="Y100" s="16" t="s">
        <v>69</v>
      </c>
      <c r="Z100" s="16" t="s">
        <v>69</v>
      </c>
      <c r="AA100" s="16" t="s">
        <v>69</v>
      </c>
    </row>
    <row r="101" spans="1:27" x14ac:dyDescent="0.2">
      <c r="A101" t="s">
        <v>8</v>
      </c>
      <c r="B101">
        <v>2008</v>
      </c>
      <c r="D101" s="2"/>
      <c r="E101" s="2" t="s">
        <v>3</v>
      </c>
      <c r="F101" s="2" t="s">
        <v>44</v>
      </c>
      <c r="G101" s="2"/>
      <c r="H101" s="2">
        <f>ROUND(G100/2,0)</f>
        <v>329</v>
      </c>
      <c r="I101" s="2"/>
      <c r="J101" s="2">
        <f>ROUND(I100/2,0)</f>
        <v>4</v>
      </c>
      <c r="K101" s="2"/>
      <c r="L101" s="2">
        <f>ROUND(K100/2,0)</f>
        <v>497</v>
      </c>
      <c r="M101" s="2"/>
      <c r="N101" s="2">
        <f>ROUND(M100/2,0)</f>
        <v>611</v>
      </c>
      <c r="O101" s="2"/>
      <c r="P101" s="2">
        <f>ROUND(O100/2,0)</f>
        <v>4</v>
      </c>
      <c r="Q101" s="2"/>
      <c r="R101" s="2">
        <f>ROUND(Q100/2,0)</f>
        <v>921</v>
      </c>
      <c r="S101" s="2"/>
      <c r="T101" s="2"/>
      <c r="U101" s="3"/>
      <c r="V101" s="2"/>
      <c r="W101" s="5"/>
      <c r="X101" s="16" t="s">
        <v>69</v>
      </c>
      <c r="Y101" s="16" t="s">
        <v>69</v>
      </c>
      <c r="Z101" s="16" t="s">
        <v>69</v>
      </c>
      <c r="AA101" s="16" t="s">
        <v>69</v>
      </c>
    </row>
    <row r="102" spans="1:27" x14ac:dyDescent="0.2">
      <c r="A102" t="s">
        <v>11</v>
      </c>
      <c r="B102">
        <v>2009</v>
      </c>
      <c r="D102" s="2">
        <v>6</v>
      </c>
      <c r="E102" s="2" t="s">
        <v>3</v>
      </c>
      <c r="F102" s="2" t="s">
        <v>44</v>
      </c>
      <c r="G102" s="2">
        <v>669</v>
      </c>
      <c r="H102" s="2">
        <f>ROUND(G102/2,0)</f>
        <v>335</v>
      </c>
      <c r="I102" s="2">
        <v>9</v>
      </c>
      <c r="J102" s="2">
        <f>ROUND(I102/2,0)</f>
        <v>5</v>
      </c>
      <c r="K102" s="2">
        <f t="shared" si="3"/>
        <v>1013</v>
      </c>
      <c r="L102" s="2">
        <f>ROUND(K102/2,0)</f>
        <v>507</v>
      </c>
      <c r="M102" s="2">
        <v>1434</v>
      </c>
      <c r="N102" s="2">
        <f>ROUND(M102/2,0)</f>
        <v>717</v>
      </c>
      <c r="O102" s="2">
        <v>6</v>
      </c>
      <c r="P102" s="2">
        <f>ROUND(O102/2,0)</f>
        <v>3</v>
      </c>
      <c r="Q102" s="2">
        <f t="shared" si="1"/>
        <v>2157</v>
      </c>
      <c r="R102" s="2">
        <f>ROUND(Q102/2,0)</f>
        <v>1079</v>
      </c>
      <c r="S102" s="2">
        <v>2</v>
      </c>
      <c r="T102" s="2">
        <v>571</v>
      </c>
      <c r="U102" s="3">
        <v>0</v>
      </c>
      <c r="V102" s="2">
        <v>8</v>
      </c>
      <c r="W102" s="5">
        <f t="shared" si="2"/>
        <v>581</v>
      </c>
      <c r="X102" s="16" t="s">
        <v>69</v>
      </c>
      <c r="Y102" s="16" t="s">
        <v>69</v>
      </c>
      <c r="Z102" s="16" t="s">
        <v>69</v>
      </c>
      <c r="AA102" s="16" t="s">
        <v>69</v>
      </c>
    </row>
    <row r="103" spans="1:27" x14ac:dyDescent="0.2">
      <c r="A103" t="s">
        <v>11</v>
      </c>
      <c r="B103">
        <v>2010</v>
      </c>
      <c r="D103" s="2"/>
      <c r="E103" s="2" t="s">
        <v>3</v>
      </c>
      <c r="F103" s="2" t="s">
        <v>44</v>
      </c>
      <c r="G103" s="2"/>
      <c r="H103" s="2">
        <f>ROUND(G102/2,0)</f>
        <v>335</v>
      </c>
      <c r="I103" s="2"/>
      <c r="J103" s="2">
        <f>ROUND(I102/2,0)</f>
        <v>5</v>
      </c>
      <c r="K103" s="2"/>
      <c r="L103" s="2">
        <f>ROUND(K102/2,0)</f>
        <v>507</v>
      </c>
      <c r="M103" s="2"/>
      <c r="N103" s="2">
        <f>ROUND(M102/2,0)</f>
        <v>717</v>
      </c>
      <c r="O103" s="2"/>
      <c r="P103" s="2">
        <f>ROUND(O102/2,0)</f>
        <v>3</v>
      </c>
      <c r="Q103" s="2"/>
      <c r="R103" s="2">
        <f>ROUND(Q102/2,0)</f>
        <v>1079</v>
      </c>
      <c r="S103" s="2"/>
      <c r="T103" s="2"/>
      <c r="U103" s="3"/>
      <c r="V103" s="2"/>
      <c r="W103" s="5"/>
      <c r="X103" s="16" t="s">
        <v>69</v>
      </c>
      <c r="Y103" s="16" t="s">
        <v>69</v>
      </c>
      <c r="Z103" s="16" t="s">
        <v>69</v>
      </c>
      <c r="AA103" s="16" t="s">
        <v>69</v>
      </c>
    </row>
    <row r="104" spans="1:27" x14ac:dyDescent="0.2">
      <c r="A104" t="s">
        <v>12</v>
      </c>
      <c r="B104">
        <v>2011</v>
      </c>
      <c r="D104" s="2">
        <v>7</v>
      </c>
      <c r="E104" s="2" t="s">
        <v>3</v>
      </c>
      <c r="F104" s="2" t="s">
        <v>44</v>
      </c>
      <c r="G104" s="2">
        <v>655</v>
      </c>
      <c r="H104" s="2">
        <f>ROUND(G104/2,0)</f>
        <v>328</v>
      </c>
      <c r="I104" s="2">
        <v>9</v>
      </c>
      <c r="J104" s="2">
        <f>ROUND(I104/2,0)</f>
        <v>5</v>
      </c>
      <c r="K104" s="2">
        <f t="shared" si="3"/>
        <v>992</v>
      </c>
      <c r="L104" s="2">
        <f>ROUND(K104/2,0)</f>
        <v>496</v>
      </c>
      <c r="M104" s="2">
        <v>1250</v>
      </c>
      <c r="N104" s="2">
        <f>ROUND(M104/2,0)</f>
        <v>625</v>
      </c>
      <c r="O104" s="2">
        <v>3</v>
      </c>
      <c r="P104" s="2">
        <f>ROUND(O104/2,0)</f>
        <v>2</v>
      </c>
      <c r="Q104" s="2">
        <f t="shared" si="1"/>
        <v>1878</v>
      </c>
      <c r="R104" s="2">
        <f>ROUND(Q104/2,0)</f>
        <v>939</v>
      </c>
      <c r="S104" s="3">
        <v>0</v>
      </c>
      <c r="T104" s="2">
        <v>562</v>
      </c>
      <c r="U104" s="3">
        <v>0</v>
      </c>
      <c r="V104" s="2">
        <v>8</v>
      </c>
      <c r="W104" s="5">
        <f t="shared" si="2"/>
        <v>570</v>
      </c>
      <c r="X104" s="16" t="s">
        <v>69</v>
      </c>
      <c r="Y104" s="16" t="s">
        <v>69</v>
      </c>
      <c r="Z104" s="16" t="s">
        <v>69</v>
      </c>
      <c r="AA104" s="16" t="s">
        <v>69</v>
      </c>
    </row>
    <row r="105" spans="1:27" x14ac:dyDescent="0.2">
      <c r="A105" t="s">
        <v>12</v>
      </c>
      <c r="B105">
        <v>2012</v>
      </c>
      <c r="D105" s="2"/>
      <c r="E105" s="2" t="s">
        <v>3</v>
      </c>
      <c r="F105" s="2" t="s">
        <v>44</v>
      </c>
      <c r="G105" s="2"/>
      <c r="H105" s="2">
        <f>ROUND(G104/2,0)</f>
        <v>328</v>
      </c>
      <c r="I105" s="2"/>
      <c r="J105" s="2">
        <f>ROUND(I104/2,0)</f>
        <v>5</v>
      </c>
      <c r="K105" s="2"/>
      <c r="L105" s="2">
        <f>ROUND(K104/2,0)</f>
        <v>496</v>
      </c>
      <c r="M105" s="2"/>
      <c r="N105" s="2">
        <f>ROUND(M104/2,0)</f>
        <v>625</v>
      </c>
      <c r="O105" s="2"/>
      <c r="P105" s="2">
        <f>ROUND(O104/2,0)</f>
        <v>2</v>
      </c>
      <c r="Q105" s="2"/>
      <c r="R105" s="2">
        <f>ROUND(Q104/2,0)</f>
        <v>939</v>
      </c>
      <c r="S105" s="3"/>
      <c r="T105" s="2"/>
      <c r="U105" s="3"/>
      <c r="V105" s="2"/>
      <c r="W105" s="5"/>
      <c r="X105" s="16" t="s">
        <v>69</v>
      </c>
      <c r="Y105" s="16" t="s">
        <v>69</v>
      </c>
      <c r="Z105" s="16" t="s">
        <v>69</v>
      </c>
      <c r="AA105" s="16" t="s">
        <v>69</v>
      </c>
    </row>
    <row r="106" spans="1:27" x14ac:dyDescent="0.2">
      <c r="A106" t="s">
        <v>13</v>
      </c>
      <c r="B106">
        <v>2013</v>
      </c>
      <c r="D106" s="2">
        <v>8</v>
      </c>
      <c r="E106" s="2" t="s">
        <v>3</v>
      </c>
      <c r="F106" s="2" t="s">
        <v>44</v>
      </c>
      <c r="G106" s="2">
        <v>645</v>
      </c>
      <c r="H106" s="2">
        <f>ROUND(G106/2,0)</f>
        <v>323</v>
      </c>
      <c r="I106" s="2">
        <v>12</v>
      </c>
      <c r="J106" s="2">
        <f>ROUND(I106/2,0)</f>
        <v>6</v>
      </c>
      <c r="K106" s="2">
        <f t="shared" si="3"/>
        <v>980</v>
      </c>
      <c r="L106" s="2">
        <f>ROUND(K106/2,0)</f>
        <v>490</v>
      </c>
      <c r="M106" s="2">
        <v>1369</v>
      </c>
      <c r="N106" s="2">
        <f>ROUND(M106/2,0)</f>
        <v>685</v>
      </c>
      <c r="O106" s="2">
        <v>3</v>
      </c>
      <c r="P106" s="2">
        <f>ROUND(O106/2,0)</f>
        <v>2</v>
      </c>
      <c r="Q106" s="2">
        <f t="shared" si="1"/>
        <v>2057</v>
      </c>
      <c r="R106" s="2">
        <f>ROUND(Q106/2,0)</f>
        <v>1029</v>
      </c>
      <c r="S106" s="3">
        <v>0</v>
      </c>
      <c r="T106" s="2">
        <v>585</v>
      </c>
      <c r="U106" s="3">
        <v>0</v>
      </c>
      <c r="V106" s="2">
        <v>10</v>
      </c>
      <c r="W106" s="5">
        <f>SUM(S106:V106)</f>
        <v>595</v>
      </c>
      <c r="X106" s="16" t="s">
        <v>69</v>
      </c>
      <c r="Y106" s="16" t="s">
        <v>69</v>
      </c>
      <c r="Z106" s="16" t="s">
        <v>69</v>
      </c>
      <c r="AA106" s="16" t="s">
        <v>69</v>
      </c>
    </row>
    <row r="107" spans="1:27" x14ac:dyDescent="0.2">
      <c r="A107" t="s">
        <v>13</v>
      </c>
      <c r="B107">
        <v>2014</v>
      </c>
      <c r="D107" s="2"/>
      <c r="E107" s="2" t="s">
        <v>3</v>
      </c>
      <c r="F107" s="2" t="s">
        <v>44</v>
      </c>
      <c r="G107" s="2"/>
      <c r="H107" s="2">
        <f>ROUND(G106/2,0)</f>
        <v>323</v>
      </c>
      <c r="I107" s="2"/>
      <c r="J107" s="2">
        <f>ROUND(I106/2,0)</f>
        <v>6</v>
      </c>
      <c r="K107" s="2"/>
      <c r="L107" s="2">
        <f>ROUND(K106/2,0)</f>
        <v>490</v>
      </c>
      <c r="M107" s="2"/>
      <c r="N107" s="2">
        <f>ROUND(M106/2,0)</f>
        <v>685</v>
      </c>
      <c r="O107" s="2"/>
      <c r="P107" s="2">
        <f>ROUND(O106/2,0)</f>
        <v>2</v>
      </c>
      <c r="Q107" s="2"/>
      <c r="R107" s="2">
        <f>ROUND(Q106/2,0)</f>
        <v>1029</v>
      </c>
      <c r="S107" s="3"/>
      <c r="T107" s="2"/>
      <c r="U107" s="3"/>
      <c r="V107" s="2"/>
      <c r="W107" s="5"/>
      <c r="X107" s="16" t="s">
        <v>69</v>
      </c>
      <c r="Y107" s="16" t="s">
        <v>69</v>
      </c>
      <c r="Z107" s="16" t="s">
        <v>69</v>
      </c>
      <c r="AA107" s="16" t="s">
        <v>69</v>
      </c>
    </row>
    <row r="108" spans="1:27" x14ac:dyDescent="0.2">
      <c r="A108" t="s">
        <v>14</v>
      </c>
      <c r="B108">
        <v>2015</v>
      </c>
      <c r="D108" s="2">
        <v>9</v>
      </c>
      <c r="E108" s="2" t="s">
        <v>3</v>
      </c>
      <c r="F108" s="2" t="s">
        <v>44</v>
      </c>
      <c r="G108" s="2">
        <v>658</v>
      </c>
      <c r="H108" s="2">
        <f>ROUND(G108/2,0)</f>
        <v>329</v>
      </c>
      <c r="I108" s="2">
        <v>10</v>
      </c>
      <c r="J108" s="2">
        <f>ROUND(I108/2,0)</f>
        <v>5</v>
      </c>
      <c r="K108" s="2">
        <f t="shared" si="3"/>
        <v>997</v>
      </c>
      <c r="L108" s="2">
        <f>ROUND(K108/2,0)</f>
        <v>499</v>
      </c>
      <c r="M108" s="2">
        <v>1287</v>
      </c>
      <c r="N108" s="2">
        <f>ROUND(M108/2,0)</f>
        <v>644</v>
      </c>
      <c r="O108" s="2">
        <v>7</v>
      </c>
      <c r="P108" s="2">
        <f>ROUND(O108/2,0)</f>
        <v>4</v>
      </c>
      <c r="Q108" s="2">
        <f t="shared" si="1"/>
        <v>1938</v>
      </c>
      <c r="R108" s="2">
        <f>ROUND(Q108/2,0)</f>
        <v>969</v>
      </c>
      <c r="S108" s="2">
        <v>6</v>
      </c>
      <c r="T108" s="2">
        <v>565</v>
      </c>
      <c r="U108" s="3">
        <v>0</v>
      </c>
      <c r="V108" s="2">
        <v>8</v>
      </c>
      <c r="W108" s="5">
        <f t="shared" si="2"/>
        <v>579</v>
      </c>
      <c r="X108" s="16" t="s">
        <v>69</v>
      </c>
      <c r="Y108" s="16" t="s">
        <v>69</v>
      </c>
      <c r="Z108" s="16" t="s">
        <v>69</v>
      </c>
      <c r="AA108" s="16" t="s">
        <v>69</v>
      </c>
    </row>
    <row r="109" spans="1:27" x14ac:dyDescent="0.2">
      <c r="A109" t="s">
        <v>14</v>
      </c>
      <c r="B109">
        <v>2016</v>
      </c>
      <c r="E109" s="2" t="s">
        <v>3</v>
      </c>
      <c r="F109" s="2" t="s">
        <v>44</v>
      </c>
      <c r="H109" s="2">
        <f>ROUND(G108/2,0)</f>
        <v>329</v>
      </c>
      <c r="J109" s="2">
        <f>ROUND(I108/2,0)</f>
        <v>5</v>
      </c>
      <c r="L109" s="2">
        <f>ROUND(K108/2,0)</f>
        <v>499</v>
      </c>
      <c r="N109" s="2">
        <f>ROUND(M108/2,0)</f>
        <v>644</v>
      </c>
      <c r="P109" s="2">
        <f>ROUND(O108/2,0)</f>
        <v>4</v>
      </c>
      <c r="R109" s="2">
        <f>ROUND(Q108/2,0)</f>
        <v>969</v>
      </c>
      <c r="W109" s="6"/>
    </row>
    <row r="110" spans="1:27" x14ac:dyDescent="0.2">
      <c r="W110" s="6"/>
    </row>
    <row r="111" spans="1:27" x14ac:dyDescent="0.2">
      <c r="AA111" s="17"/>
    </row>
    <row r="112" spans="1:27" x14ac:dyDescent="0.2">
      <c r="Z112" s="17"/>
      <c r="AA112" s="17"/>
    </row>
    <row r="113" spans="26:27" x14ac:dyDescent="0.2">
      <c r="Z113" s="17"/>
      <c r="AA113" s="15"/>
    </row>
    <row r="114" spans="26:27" x14ac:dyDescent="0.2">
      <c r="Z114" s="17"/>
      <c r="AA114" s="15"/>
    </row>
    <row r="115" spans="26:27" x14ac:dyDescent="0.2">
      <c r="Z115" s="17"/>
      <c r="AA115" s="15"/>
    </row>
    <row r="116" spans="26:27" x14ac:dyDescent="0.2">
      <c r="Z116" s="17"/>
      <c r="AA116" s="1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8F02-B516-E64D-A5E4-ECAE06AC336C}">
  <dimension ref="A1:Y49"/>
  <sheetViews>
    <sheetView zoomScale="95" zoomScaleNormal="95" workbookViewId="0">
      <selection activeCell="P1" sqref="P1:R1"/>
    </sheetView>
  </sheetViews>
  <sheetFormatPr baseColWidth="10" defaultRowHeight="16" x14ac:dyDescent="0.2"/>
  <sheetData>
    <row r="1" spans="1:25" x14ac:dyDescent="0.2">
      <c r="A1" s="1" t="s">
        <v>28</v>
      </c>
      <c r="B1" t="s">
        <v>102</v>
      </c>
      <c r="C1" t="s">
        <v>27</v>
      </c>
      <c r="E1" t="s">
        <v>1</v>
      </c>
      <c r="F1" s="1" t="s">
        <v>15</v>
      </c>
      <c r="G1" s="1" t="s">
        <v>103</v>
      </c>
      <c r="H1" s="10" t="s">
        <v>23</v>
      </c>
      <c r="I1" s="1" t="s">
        <v>104</v>
      </c>
      <c r="J1" s="10" t="s">
        <v>34</v>
      </c>
      <c r="K1" s="1" t="s">
        <v>105</v>
      </c>
      <c r="L1" s="10" t="s">
        <v>35</v>
      </c>
      <c r="M1" s="1" t="s">
        <v>106</v>
      </c>
      <c r="N1" s="10" t="s">
        <v>37</v>
      </c>
      <c r="O1" s="1" t="s">
        <v>107</v>
      </c>
      <c r="P1" s="12" t="s">
        <v>115</v>
      </c>
      <c r="Q1" s="12" t="s">
        <v>116</v>
      </c>
      <c r="R1" s="12" t="s">
        <v>38</v>
      </c>
      <c r="S1" s="1" t="s">
        <v>108</v>
      </c>
      <c r="T1" s="10" t="s">
        <v>39</v>
      </c>
      <c r="U1" s="1" t="s">
        <v>40</v>
      </c>
      <c r="V1" s="1" t="s">
        <v>19</v>
      </c>
      <c r="W1" s="1" t="s">
        <v>41</v>
      </c>
      <c r="X1" s="1" t="s">
        <v>42</v>
      </c>
      <c r="Y1" s="1" t="s">
        <v>22</v>
      </c>
    </row>
    <row r="2" spans="1:25" x14ac:dyDescent="0.2">
      <c r="A2" s="2" t="s">
        <v>29</v>
      </c>
      <c r="B2">
        <v>2011</v>
      </c>
      <c r="C2">
        <f>B2+1</f>
        <v>2012</v>
      </c>
      <c r="E2" t="s">
        <v>2</v>
      </c>
      <c r="F2" t="s">
        <v>16</v>
      </c>
      <c r="G2" s="2">
        <v>5444</v>
      </c>
      <c r="H2" s="2">
        <f>G2/2</f>
        <v>2722</v>
      </c>
      <c r="I2" s="2">
        <v>123</v>
      </c>
      <c r="J2" s="2">
        <f>ROUND(I2/2,0)</f>
        <v>62</v>
      </c>
      <c r="K2" s="2">
        <f>SUM(G2:I2)</f>
        <v>8289</v>
      </c>
      <c r="L2" s="2">
        <f>ROUND(K2/2,0)</f>
        <v>4145</v>
      </c>
      <c r="M2" s="2">
        <v>3980</v>
      </c>
      <c r="N2" s="2">
        <f>ROUND(M2/2,0)</f>
        <v>1990</v>
      </c>
      <c r="O2" s="2">
        <v>1558</v>
      </c>
      <c r="P2" s="2">
        <f>1.3</f>
        <v>1.3</v>
      </c>
      <c r="Q2" s="2">
        <f>ROUND(O2/2,0)</f>
        <v>779</v>
      </c>
      <c r="R2" s="2">
        <f>ROUND(Q2*P2,0)</f>
        <v>1013</v>
      </c>
      <c r="S2">
        <f>SUM(M2:O2)</f>
        <v>7528</v>
      </c>
      <c r="T2" s="2">
        <f>ROUND(S2/2,0)</f>
        <v>3764</v>
      </c>
      <c r="U2" s="2">
        <v>3972</v>
      </c>
      <c r="V2" s="2">
        <v>1443</v>
      </c>
      <c r="W2" s="2">
        <v>8</v>
      </c>
      <c r="X2" s="2">
        <v>114</v>
      </c>
      <c r="Y2">
        <f>SUM(U2:X2)</f>
        <v>5537</v>
      </c>
    </row>
    <row r="3" spans="1:25" x14ac:dyDescent="0.2">
      <c r="A3" s="2" t="s">
        <v>29</v>
      </c>
      <c r="B3">
        <v>2012</v>
      </c>
      <c r="C3">
        <f t="shared" ref="C3:C48" si="0">B3+1</f>
        <v>2013</v>
      </c>
      <c r="E3" t="s">
        <v>2</v>
      </c>
      <c r="F3" t="s">
        <v>16</v>
      </c>
      <c r="G3" s="2"/>
      <c r="H3" s="2">
        <f>G2/2</f>
        <v>2722</v>
      </c>
      <c r="I3" s="2"/>
      <c r="J3" s="2">
        <f>ROUND(I2/2,0)</f>
        <v>62</v>
      </c>
      <c r="K3" s="2"/>
      <c r="L3" s="2">
        <f>ROUND(K2/2,0)</f>
        <v>4145</v>
      </c>
      <c r="M3" s="2"/>
      <c r="N3" s="2">
        <f>ROUND(M2/2,0)</f>
        <v>1990</v>
      </c>
      <c r="O3" s="2"/>
      <c r="P3" s="2">
        <f t="shared" ref="P3:P49" si="1">1.3</f>
        <v>1.3</v>
      </c>
      <c r="Q3" s="2">
        <f>ROUND(O2/2,0)</f>
        <v>779</v>
      </c>
      <c r="R3" s="2">
        <f t="shared" ref="R3:R49" si="2">ROUND(Q3*P3,0)</f>
        <v>1013</v>
      </c>
      <c r="T3" s="2">
        <f>ROUND(S2/2,0)</f>
        <v>3764</v>
      </c>
      <c r="U3" s="2"/>
      <c r="V3" s="2"/>
      <c r="W3" s="2"/>
      <c r="X3" s="2"/>
    </row>
    <row r="4" spans="1:25" x14ac:dyDescent="0.2">
      <c r="A4" s="2" t="s">
        <v>32</v>
      </c>
      <c r="B4">
        <v>2013</v>
      </c>
      <c r="C4">
        <f t="shared" si="0"/>
        <v>2014</v>
      </c>
      <c r="E4" t="s">
        <v>2</v>
      </c>
      <c r="F4" t="s">
        <v>16</v>
      </c>
      <c r="G4" s="2">
        <v>5553</v>
      </c>
      <c r="H4" s="2">
        <f>ROUND(G4/2,0)</f>
        <v>2777</v>
      </c>
      <c r="I4" s="2">
        <v>115</v>
      </c>
      <c r="J4" s="2">
        <f>ROUND(I4/2,0)</f>
        <v>58</v>
      </c>
      <c r="K4" s="2">
        <f t="shared" ref="K4:K32" si="3">SUM(G4:I4)</f>
        <v>8445</v>
      </c>
      <c r="L4" s="2">
        <f>ROUND(K4/2,0)</f>
        <v>4223</v>
      </c>
      <c r="M4" s="2">
        <v>4015</v>
      </c>
      <c r="N4" s="2">
        <f>ROUND(M4/2,0)</f>
        <v>2008</v>
      </c>
      <c r="O4" s="2">
        <v>1626</v>
      </c>
      <c r="P4" s="2">
        <f t="shared" si="1"/>
        <v>1.3</v>
      </c>
      <c r="Q4" s="2">
        <f>ROUND(O4/2,0)</f>
        <v>813</v>
      </c>
      <c r="R4" s="2">
        <f t="shared" si="2"/>
        <v>1057</v>
      </c>
      <c r="S4">
        <f t="shared" ref="S4:S48" si="4">SUM(M4:O4)</f>
        <v>7649</v>
      </c>
      <c r="T4" s="2">
        <f>ROUND(S4/2,0)</f>
        <v>3825</v>
      </c>
      <c r="U4" s="2">
        <v>4005</v>
      </c>
      <c r="V4" s="2">
        <v>1518</v>
      </c>
      <c r="W4" s="2">
        <v>9</v>
      </c>
      <c r="X4" s="2">
        <v>106</v>
      </c>
      <c r="Y4">
        <f t="shared" ref="Y4:Y48" si="5">SUM(U4:X4)</f>
        <v>5638</v>
      </c>
    </row>
    <row r="5" spans="1:25" x14ac:dyDescent="0.2">
      <c r="A5" s="2" t="s">
        <v>32</v>
      </c>
      <c r="B5">
        <v>2014</v>
      </c>
      <c r="C5">
        <f t="shared" si="0"/>
        <v>2015</v>
      </c>
      <c r="E5" t="s">
        <v>2</v>
      </c>
      <c r="F5" t="s">
        <v>16</v>
      </c>
      <c r="G5" s="2"/>
      <c r="H5" s="2">
        <f>ROUND(G4/2,0)</f>
        <v>2777</v>
      </c>
      <c r="I5" s="2"/>
      <c r="J5" s="2">
        <f>ROUND(I4/2,0)</f>
        <v>58</v>
      </c>
      <c r="K5" s="2"/>
      <c r="L5" s="2">
        <f>ROUND(K4/2,0)</f>
        <v>4223</v>
      </c>
      <c r="M5" s="2"/>
      <c r="N5" s="2">
        <f>ROUND(M4/2,0)</f>
        <v>2008</v>
      </c>
      <c r="O5" s="2"/>
      <c r="P5" s="2">
        <f t="shared" si="1"/>
        <v>1.3</v>
      </c>
      <c r="Q5" s="2">
        <f>ROUND(O4/2,0)</f>
        <v>813</v>
      </c>
      <c r="R5" s="2">
        <f t="shared" si="2"/>
        <v>1057</v>
      </c>
      <c r="T5" s="2">
        <f>ROUND(S4/2,0)</f>
        <v>3825</v>
      </c>
      <c r="U5" s="2"/>
      <c r="V5" s="2"/>
      <c r="W5" s="2"/>
      <c r="X5" s="2"/>
    </row>
    <row r="6" spans="1:25" x14ac:dyDescent="0.2">
      <c r="A6" s="2" t="s">
        <v>33</v>
      </c>
      <c r="B6">
        <v>2015</v>
      </c>
      <c r="C6">
        <f t="shared" si="0"/>
        <v>2016</v>
      </c>
      <c r="E6" t="s">
        <v>2</v>
      </c>
      <c r="F6" t="s">
        <v>16</v>
      </c>
      <c r="G6" s="2">
        <v>5392</v>
      </c>
      <c r="H6" s="2">
        <f>ROUND(G6/2,0)</f>
        <v>2696</v>
      </c>
      <c r="I6" s="2">
        <v>109</v>
      </c>
      <c r="J6" s="2">
        <f>ROUND(I6/2,0)</f>
        <v>55</v>
      </c>
      <c r="K6" s="2">
        <f t="shared" si="3"/>
        <v>8197</v>
      </c>
      <c r="L6" s="2">
        <f>ROUND(K6/2,0)</f>
        <v>4099</v>
      </c>
      <c r="M6" s="2">
        <v>3942</v>
      </c>
      <c r="N6" s="2">
        <f>ROUND(M6/2,0)</f>
        <v>1971</v>
      </c>
      <c r="O6" s="2">
        <v>1542</v>
      </c>
      <c r="P6" s="2">
        <f t="shared" si="1"/>
        <v>1.3</v>
      </c>
      <c r="Q6" s="2">
        <f>ROUND(O6/2,0)</f>
        <v>771</v>
      </c>
      <c r="R6" s="2">
        <f t="shared" si="2"/>
        <v>1002</v>
      </c>
      <c r="S6">
        <f t="shared" si="4"/>
        <v>7455</v>
      </c>
      <c r="T6" s="2">
        <f>ROUND(S6/2,0)</f>
        <v>3728</v>
      </c>
      <c r="U6" s="2">
        <v>3932</v>
      </c>
      <c r="V6" s="2">
        <v>1441</v>
      </c>
      <c r="W6" s="2">
        <v>10</v>
      </c>
      <c r="X6" s="2">
        <v>99</v>
      </c>
      <c r="Y6">
        <f t="shared" si="5"/>
        <v>5482</v>
      </c>
    </row>
    <row r="7" spans="1:25" x14ac:dyDescent="0.2">
      <c r="A7" s="2" t="s">
        <v>33</v>
      </c>
      <c r="B7">
        <v>2016</v>
      </c>
      <c r="C7">
        <f t="shared" si="0"/>
        <v>2017</v>
      </c>
      <c r="E7" t="s">
        <v>2</v>
      </c>
      <c r="F7" t="s">
        <v>16</v>
      </c>
      <c r="G7" s="2"/>
      <c r="H7" s="2">
        <f>ROUND(G6/2,0)</f>
        <v>2696</v>
      </c>
      <c r="I7" s="2"/>
      <c r="J7" s="2">
        <f>ROUND(I6/2,0)</f>
        <v>55</v>
      </c>
      <c r="K7" s="2"/>
      <c r="L7" s="2">
        <f>ROUND(K6/2,0)</f>
        <v>4099</v>
      </c>
      <c r="M7" s="2"/>
      <c r="N7" s="2">
        <f>ROUND(M6/2,0)</f>
        <v>1971</v>
      </c>
      <c r="O7" s="2"/>
      <c r="P7" s="2">
        <f t="shared" si="1"/>
        <v>1.3</v>
      </c>
      <c r="Q7" s="2">
        <f>ROUND(O6/2,0)</f>
        <v>771</v>
      </c>
      <c r="R7" s="2">
        <f t="shared" si="2"/>
        <v>1002</v>
      </c>
      <c r="T7" s="2">
        <f>ROUND(S6/2,0)</f>
        <v>3728</v>
      </c>
      <c r="U7" s="2"/>
      <c r="V7" s="2"/>
      <c r="W7" s="2"/>
      <c r="X7" s="2"/>
    </row>
    <row r="8" spans="1:25" x14ac:dyDescent="0.2">
      <c r="A8" s="2" t="s">
        <v>36</v>
      </c>
      <c r="B8">
        <v>2017</v>
      </c>
      <c r="C8">
        <f t="shared" si="0"/>
        <v>2018</v>
      </c>
      <c r="E8" t="s">
        <v>2</v>
      </c>
      <c r="F8" t="s">
        <v>16</v>
      </c>
      <c r="G8" s="2">
        <v>5967</v>
      </c>
      <c r="H8" s="2">
        <f>ROUND(G8/2,0)</f>
        <v>2984</v>
      </c>
      <c r="I8" s="2">
        <v>112</v>
      </c>
      <c r="J8" s="2">
        <f>ROUND(I8/2,0)</f>
        <v>56</v>
      </c>
      <c r="K8" s="2">
        <f t="shared" si="3"/>
        <v>9063</v>
      </c>
      <c r="L8" s="2">
        <f>ROUND(K8/2,0)</f>
        <v>4532</v>
      </c>
      <c r="M8" s="2">
        <v>4359</v>
      </c>
      <c r="N8" s="2">
        <f>ROUND(M8/2,0)</f>
        <v>2180</v>
      </c>
      <c r="O8" s="2">
        <v>1697</v>
      </c>
      <c r="P8" s="2">
        <f t="shared" si="1"/>
        <v>1.3</v>
      </c>
      <c r="Q8" s="2">
        <f>ROUND(O8/2,0)</f>
        <v>849</v>
      </c>
      <c r="R8" s="2">
        <f t="shared" si="2"/>
        <v>1104</v>
      </c>
      <c r="S8">
        <f t="shared" si="4"/>
        <v>8236</v>
      </c>
      <c r="T8" s="2">
        <f>ROUND(S8/2,0)</f>
        <v>4118</v>
      </c>
      <c r="U8" s="2">
        <v>4348</v>
      </c>
      <c r="V8" s="2">
        <v>1591</v>
      </c>
      <c r="W8" s="2">
        <v>8</v>
      </c>
      <c r="X8" s="2">
        <v>104</v>
      </c>
      <c r="Y8">
        <f t="shared" si="5"/>
        <v>6051</v>
      </c>
    </row>
    <row r="9" spans="1:25" x14ac:dyDescent="0.2">
      <c r="A9" s="5" t="s">
        <v>36</v>
      </c>
      <c r="B9">
        <v>2018</v>
      </c>
      <c r="C9">
        <f t="shared" si="0"/>
        <v>2019</v>
      </c>
      <c r="E9" t="s">
        <v>2</v>
      </c>
      <c r="F9" t="s">
        <v>16</v>
      </c>
      <c r="G9" s="2"/>
      <c r="H9" s="2">
        <f>ROUND(G8/2,0)</f>
        <v>2984</v>
      </c>
      <c r="I9" s="2"/>
      <c r="J9" s="2">
        <f>ROUND(I8/2,0)</f>
        <v>56</v>
      </c>
      <c r="K9" s="2"/>
      <c r="L9" s="2">
        <f>ROUND(K8/2,0)</f>
        <v>4532</v>
      </c>
      <c r="M9" s="2"/>
      <c r="N9" s="2">
        <f>ROUND(M8/2,0)</f>
        <v>2180</v>
      </c>
      <c r="O9" s="2"/>
      <c r="P9" s="2">
        <f t="shared" si="1"/>
        <v>1.3</v>
      </c>
      <c r="Q9" s="2">
        <f>ROUND(O8/2,0)</f>
        <v>849</v>
      </c>
      <c r="R9" s="2">
        <f t="shared" si="2"/>
        <v>1104</v>
      </c>
      <c r="T9" s="2">
        <f>ROUND(S8/2,0)</f>
        <v>4118</v>
      </c>
      <c r="U9" s="2"/>
      <c r="V9" s="2"/>
      <c r="W9" s="2"/>
      <c r="X9" s="2"/>
    </row>
    <row r="10" spans="1:25" x14ac:dyDescent="0.2">
      <c r="A10" s="2" t="s">
        <v>29</v>
      </c>
      <c r="B10">
        <v>2011</v>
      </c>
      <c r="C10">
        <f t="shared" si="0"/>
        <v>2012</v>
      </c>
      <c r="E10" t="s">
        <v>3</v>
      </c>
      <c r="F10" t="s">
        <v>16</v>
      </c>
      <c r="G10" s="2">
        <v>4733</v>
      </c>
      <c r="H10" s="2">
        <f>ROUND(G10/2,0)</f>
        <v>2367</v>
      </c>
      <c r="I10" s="2">
        <v>49</v>
      </c>
      <c r="J10" s="2">
        <f>ROUND(I10/2,0)</f>
        <v>25</v>
      </c>
      <c r="K10" s="2">
        <f t="shared" si="3"/>
        <v>7149</v>
      </c>
      <c r="L10" s="2">
        <f>ROUND(K10/2,0)</f>
        <v>3575</v>
      </c>
      <c r="M10" s="2">
        <v>3903</v>
      </c>
      <c r="N10" s="2">
        <f>ROUND(M10/2,0)</f>
        <v>1952</v>
      </c>
      <c r="O10" s="2">
        <v>873</v>
      </c>
      <c r="P10" s="2">
        <f t="shared" si="1"/>
        <v>1.3</v>
      </c>
      <c r="Q10" s="2">
        <f>ROUND(O10/2,0)</f>
        <v>437</v>
      </c>
      <c r="R10" s="2">
        <f t="shared" si="2"/>
        <v>568</v>
      </c>
      <c r="S10">
        <f t="shared" si="4"/>
        <v>6728</v>
      </c>
      <c r="T10" s="2">
        <f>ROUND(S10/2,0)</f>
        <v>3364</v>
      </c>
      <c r="U10" s="2">
        <v>3896</v>
      </c>
      <c r="V10" s="2">
        <v>828</v>
      </c>
      <c r="W10" s="2">
        <v>5</v>
      </c>
      <c r="X10" s="2">
        <v>44</v>
      </c>
      <c r="Y10">
        <f t="shared" si="5"/>
        <v>4773</v>
      </c>
    </row>
    <row r="11" spans="1:25" x14ac:dyDescent="0.2">
      <c r="A11" s="2" t="s">
        <v>29</v>
      </c>
      <c r="B11">
        <v>2012</v>
      </c>
      <c r="C11">
        <f t="shared" si="0"/>
        <v>2013</v>
      </c>
      <c r="E11" t="s">
        <v>3</v>
      </c>
      <c r="F11" t="s">
        <v>16</v>
      </c>
      <c r="G11" s="2"/>
      <c r="H11" s="2">
        <f>ROUND(G10/2,0)</f>
        <v>2367</v>
      </c>
      <c r="I11" s="2"/>
      <c r="J11" s="2">
        <f>ROUND(I10/2,0)</f>
        <v>25</v>
      </c>
      <c r="K11" s="2"/>
      <c r="L11" s="2">
        <f>ROUND(K10/2,0)</f>
        <v>3575</v>
      </c>
      <c r="M11" s="2"/>
      <c r="N11" s="2">
        <f>ROUND(M10/2,0)</f>
        <v>1952</v>
      </c>
      <c r="O11" s="2"/>
      <c r="P11" s="2">
        <f t="shared" si="1"/>
        <v>1.3</v>
      </c>
      <c r="Q11" s="2">
        <f>ROUND(O10/2,0)</f>
        <v>437</v>
      </c>
      <c r="R11" s="2">
        <f t="shared" si="2"/>
        <v>568</v>
      </c>
      <c r="T11" s="2">
        <f>ROUND(S10/2,0)</f>
        <v>3364</v>
      </c>
      <c r="U11" s="2"/>
      <c r="V11" s="2"/>
      <c r="W11" s="2"/>
      <c r="X11" s="2"/>
    </row>
    <row r="12" spans="1:25" x14ac:dyDescent="0.2">
      <c r="A12" s="2" t="s">
        <v>32</v>
      </c>
      <c r="B12">
        <v>2013</v>
      </c>
      <c r="C12">
        <f t="shared" si="0"/>
        <v>2014</v>
      </c>
      <c r="E12" t="s">
        <v>3</v>
      </c>
      <c r="F12" t="s">
        <v>16</v>
      </c>
      <c r="G12" s="2">
        <v>4424</v>
      </c>
      <c r="H12" s="2">
        <f>ROUND(G12/2,0)</f>
        <v>2212</v>
      </c>
      <c r="I12" s="2">
        <v>47</v>
      </c>
      <c r="J12" s="2">
        <f>ROUND(I12/2,0)</f>
        <v>24</v>
      </c>
      <c r="K12" s="2">
        <f t="shared" si="3"/>
        <v>6683</v>
      </c>
      <c r="L12" s="2">
        <f>ROUND(K12/2,0)</f>
        <v>3342</v>
      </c>
      <c r="M12" s="2">
        <v>3708</v>
      </c>
      <c r="N12" s="2">
        <f>ROUND(M12/2,0)</f>
        <v>1854</v>
      </c>
      <c r="O12" s="2">
        <v>758</v>
      </c>
      <c r="P12" s="2">
        <f t="shared" si="1"/>
        <v>1.3</v>
      </c>
      <c r="Q12" s="2">
        <f>ROUND(O12/2,0)</f>
        <v>379</v>
      </c>
      <c r="R12" s="2">
        <f t="shared" si="2"/>
        <v>493</v>
      </c>
      <c r="S12">
        <f t="shared" si="4"/>
        <v>6320</v>
      </c>
      <c r="T12" s="2">
        <f>ROUND(S12/2,0)</f>
        <v>3160</v>
      </c>
      <c r="U12" s="2">
        <v>3698</v>
      </c>
      <c r="V12" s="2">
        <v>716</v>
      </c>
      <c r="W12" s="2">
        <v>5</v>
      </c>
      <c r="X12" s="2">
        <v>42</v>
      </c>
      <c r="Y12">
        <f t="shared" si="5"/>
        <v>4461</v>
      </c>
    </row>
    <row r="13" spans="1:25" x14ac:dyDescent="0.2">
      <c r="A13" s="2" t="s">
        <v>32</v>
      </c>
      <c r="B13">
        <v>2014</v>
      </c>
      <c r="C13">
        <f t="shared" si="0"/>
        <v>2015</v>
      </c>
      <c r="E13" t="s">
        <v>3</v>
      </c>
      <c r="F13" t="s">
        <v>16</v>
      </c>
      <c r="G13" s="2"/>
      <c r="H13" s="2">
        <f>ROUND(G12/2,0)</f>
        <v>2212</v>
      </c>
      <c r="I13" s="2"/>
      <c r="J13" s="2">
        <f>ROUND(I12/2,0)</f>
        <v>24</v>
      </c>
      <c r="K13" s="2"/>
      <c r="L13" s="2">
        <f>ROUND(K12/2,0)</f>
        <v>3342</v>
      </c>
      <c r="M13" s="2"/>
      <c r="N13" s="2">
        <f>ROUND(M12/2,0)</f>
        <v>1854</v>
      </c>
      <c r="O13" s="2"/>
      <c r="P13" s="2">
        <f t="shared" si="1"/>
        <v>1.3</v>
      </c>
      <c r="Q13" s="2">
        <f>ROUND(O12/2,0)</f>
        <v>379</v>
      </c>
      <c r="R13" s="2">
        <f t="shared" si="2"/>
        <v>493</v>
      </c>
      <c r="T13" s="2">
        <f>ROUND(S12/2,0)</f>
        <v>3160</v>
      </c>
      <c r="U13" s="2"/>
      <c r="V13" s="2"/>
      <c r="W13" s="2"/>
      <c r="X13" s="2"/>
    </row>
    <row r="14" spans="1:25" x14ac:dyDescent="0.2">
      <c r="A14" s="2" t="s">
        <v>33</v>
      </c>
      <c r="B14">
        <v>2015</v>
      </c>
      <c r="C14">
        <f t="shared" si="0"/>
        <v>2016</v>
      </c>
      <c r="E14" t="s">
        <v>3</v>
      </c>
      <c r="F14" t="s">
        <v>16</v>
      </c>
      <c r="G14" s="2">
        <v>4454</v>
      </c>
      <c r="H14" s="2">
        <f>ROUND(G14/2,0)</f>
        <v>2227</v>
      </c>
      <c r="I14" s="2">
        <v>46</v>
      </c>
      <c r="J14" s="2">
        <f>ROUND(I14/2,0)</f>
        <v>23</v>
      </c>
      <c r="K14" s="2">
        <f t="shared" si="3"/>
        <v>6727</v>
      </c>
      <c r="L14" s="2">
        <f>ROUND(K14/2,0)</f>
        <v>3364</v>
      </c>
      <c r="M14" s="2">
        <v>3691</v>
      </c>
      <c r="N14" s="2">
        <f>ROUND(M14/2,0)</f>
        <v>1846</v>
      </c>
      <c r="O14" s="2">
        <v>802</v>
      </c>
      <c r="P14" s="2">
        <f t="shared" si="1"/>
        <v>1.3</v>
      </c>
      <c r="Q14" s="2">
        <f>ROUND(O14/2,0)</f>
        <v>401</v>
      </c>
      <c r="R14" s="2">
        <f t="shared" si="2"/>
        <v>521</v>
      </c>
      <c r="S14">
        <f t="shared" si="4"/>
        <v>6339</v>
      </c>
      <c r="T14" s="2">
        <f>ROUND(S14/2,0)</f>
        <v>3170</v>
      </c>
      <c r="U14" s="2">
        <v>3687</v>
      </c>
      <c r="V14" s="2">
        <v>759</v>
      </c>
      <c r="W14" s="2">
        <v>3</v>
      </c>
      <c r="X14" s="2">
        <v>43</v>
      </c>
      <c r="Y14">
        <f t="shared" si="5"/>
        <v>4492</v>
      </c>
    </row>
    <row r="15" spans="1:25" x14ac:dyDescent="0.2">
      <c r="A15" s="2" t="s">
        <v>33</v>
      </c>
      <c r="B15">
        <v>2016</v>
      </c>
      <c r="C15">
        <f t="shared" si="0"/>
        <v>2017</v>
      </c>
      <c r="E15" t="s">
        <v>3</v>
      </c>
      <c r="F15" t="s">
        <v>16</v>
      </c>
      <c r="G15" s="2"/>
      <c r="H15" s="2">
        <f>ROUND(G14/2,0)</f>
        <v>2227</v>
      </c>
      <c r="I15" s="2"/>
      <c r="J15" s="2">
        <f>ROUND(I14/2,0)</f>
        <v>23</v>
      </c>
      <c r="K15" s="2"/>
      <c r="L15" s="2">
        <f>ROUND(K14/2,0)</f>
        <v>3364</v>
      </c>
      <c r="M15" s="2"/>
      <c r="N15" s="2">
        <f>ROUND(M14/2,0)</f>
        <v>1846</v>
      </c>
      <c r="O15" s="2"/>
      <c r="P15" s="2">
        <f t="shared" si="1"/>
        <v>1.3</v>
      </c>
      <c r="Q15" s="2">
        <f>ROUND(O14/2,0)</f>
        <v>401</v>
      </c>
      <c r="R15" s="2">
        <f t="shared" si="2"/>
        <v>521</v>
      </c>
      <c r="T15" s="2">
        <f>ROUND(S14/2,0)</f>
        <v>3170</v>
      </c>
      <c r="U15" s="2"/>
      <c r="V15" s="2"/>
      <c r="W15" s="2"/>
      <c r="X15" s="2"/>
    </row>
    <row r="16" spans="1:25" x14ac:dyDescent="0.2">
      <c r="A16" s="2" t="s">
        <v>36</v>
      </c>
      <c r="B16">
        <v>2017</v>
      </c>
      <c r="C16">
        <f t="shared" si="0"/>
        <v>2018</v>
      </c>
      <c r="E16" t="s">
        <v>3</v>
      </c>
      <c r="F16" t="s">
        <v>16</v>
      </c>
      <c r="G16" s="2">
        <v>5107</v>
      </c>
      <c r="H16" s="2">
        <f>ROUND(G16/2,0)</f>
        <v>2554</v>
      </c>
      <c r="I16" s="2">
        <v>42</v>
      </c>
      <c r="J16" s="2">
        <f>ROUND(I16/2,0)</f>
        <v>21</v>
      </c>
      <c r="K16" s="2">
        <f t="shared" si="3"/>
        <v>7703</v>
      </c>
      <c r="L16" s="2">
        <f>ROUND(K16/2,0)</f>
        <v>3852</v>
      </c>
      <c r="M16" s="2">
        <v>4292</v>
      </c>
      <c r="N16" s="2">
        <f>ROUND(M16/2,0)</f>
        <v>2146</v>
      </c>
      <c r="O16" s="2">
        <v>844</v>
      </c>
      <c r="P16" s="2">
        <f t="shared" si="1"/>
        <v>1.3</v>
      </c>
      <c r="Q16" s="2">
        <f>ROUND(O16/2,0)</f>
        <v>422</v>
      </c>
      <c r="R16" s="2">
        <f t="shared" si="2"/>
        <v>549</v>
      </c>
      <c r="S16">
        <f t="shared" si="4"/>
        <v>7282</v>
      </c>
      <c r="T16" s="2">
        <f>ROUND(S16/2,0)</f>
        <v>3641</v>
      </c>
      <c r="U16" s="2">
        <v>4290</v>
      </c>
      <c r="V16" s="2">
        <v>802</v>
      </c>
      <c r="W16" s="2">
        <v>2</v>
      </c>
      <c r="X16" s="2">
        <v>40</v>
      </c>
      <c r="Y16">
        <f t="shared" si="5"/>
        <v>5134</v>
      </c>
    </row>
    <row r="17" spans="1:25" x14ac:dyDescent="0.2">
      <c r="A17" s="2" t="s">
        <v>36</v>
      </c>
      <c r="B17">
        <v>2018</v>
      </c>
      <c r="C17">
        <f t="shared" si="0"/>
        <v>2019</v>
      </c>
      <c r="E17" t="s">
        <v>3</v>
      </c>
      <c r="F17" t="s">
        <v>16</v>
      </c>
      <c r="G17" s="2"/>
      <c r="H17" s="2">
        <f>ROUND(G16/2,0)</f>
        <v>2554</v>
      </c>
      <c r="I17" s="2"/>
      <c r="J17" s="2">
        <f>ROUND(I16/2,0)</f>
        <v>21</v>
      </c>
      <c r="K17" s="2"/>
      <c r="L17" s="2">
        <f>ROUND(K16/2,0)</f>
        <v>3852</v>
      </c>
      <c r="M17" s="2"/>
      <c r="N17" s="2">
        <f>ROUND(M16/2,0)</f>
        <v>2146</v>
      </c>
      <c r="O17" s="2"/>
      <c r="P17" s="2">
        <f t="shared" si="1"/>
        <v>1.3</v>
      </c>
      <c r="Q17" s="2">
        <f>ROUND(O16/2,0)</f>
        <v>422</v>
      </c>
      <c r="R17" s="2">
        <f t="shared" si="2"/>
        <v>549</v>
      </c>
      <c r="T17" s="2">
        <f>ROUND(S16/2,0)</f>
        <v>3641</v>
      </c>
      <c r="U17" s="2"/>
      <c r="V17" s="2"/>
      <c r="W17" s="2"/>
      <c r="X17" s="2"/>
    </row>
    <row r="18" spans="1:25" x14ac:dyDescent="0.2">
      <c r="A18" s="2" t="s">
        <v>29</v>
      </c>
      <c r="B18">
        <v>2011</v>
      </c>
      <c r="C18">
        <f t="shared" si="0"/>
        <v>2012</v>
      </c>
      <c r="E18" t="s">
        <v>2</v>
      </c>
      <c r="F18" s="2" t="s">
        <v>30</v>
      </c>
      <c r="G18" s="2">
        <v>1914</v>
      </c>
      <c r="H18" s="2">
        <f>ROUND(G18/2,0)</f>
        <v>957</v>
      </c>
      <c r="I18" s="2">
        <v>74</v>
      </c>
      <c r="J18" s="2">
        <f>ROUND(I18/2,0)</f>
        <v>37</v>
      </c>
      <c r="K18" s="2">
        <f t="shared" si="3"/>
        <v>2945</v>
      </c>
      <c r="L18" s="2">
        <f>ROUND(K18/2,0)</f>
        <v>1473</v>
      </c>
      <c r="M18" s="2">
        <v>1428</v>
      </c>
      <c r="N18" s="2">
        <f>ROUND(M18/2,0)</f>
        <v>714</v>
      </c>
      <c r="O18" s="2">
        <v>552</v>
      </c>
      <c r="P18" s="2">
        <f t="shared" si="1"/>
        <v>1.3</v>
      </c>
      <c r="Q18" s="2">
        <f>ROUND(O18/2,0)</f>
        <v>276</v>
      </c>
      <c r="R18" s="2">
        <f t="shared" si="2"/>
        <v>359</v>
      </c>
      <c r="S18">
        <f t="shared" si="4"/>
        <v>2694</v>
      </c>
      <c r="T18" s="2">
        <f>ROUND(S18/2,0)</f>
        <v>1347</v>
      </c>
      <c r="U18" s="2">
        <v>1424</v>
      </c>
      <c r="V18" s="2">
        <v>483</v>
      </c>
      <c r="W18" s="2">
        <v>4</v>
      </c>
      <c r="X18" s="2">
        <v>69</v>
      </c>
      <c r="Y18">
        <f t="shared" si="5"/>
        <v>1980</v>
      </c>
    </row>
    <row r="19" spans="1:25" x14ac:dyDescent="0.2">
      <c r="A19" s="2" t="s">
        <v>29</v>
      </c>
      <c r="B19">
        <v>2012</v>
      </c>
      <c r="C19">
        <f t="shared" si="0"/>
        <v>2013</v>
      </c>
      <c r="E19" t="s">
        <v>2</v>
      </c>
      <c r="F19" s="2" t="s">
        <v>30</v>
      </c>
      <c r="G19" s="2"/>
      <c r="H19" s="2">
        <f>ROUND(G18/2,0)</f>
        <v>957</v>
      </c>
      <c r="I19" s="2"/>
      <c r="J19" s="2">
        <f>ROUND(I18/2,0)</f>
        <v>37</v>
      </c>
      <c r="K19" s="2"/>
      <c r="L19" s="2">
        <f>ROUND(K18/2,0)</f>
        <v>1473</v>
      </c>
      <c r="M19" s="2"/>
      <c r="N19" s="2">
        <f>ROUND(M18/2,0)</f>
        <v>714</v>
      </c>
      <c r="O19" s="2"/>
      <c r="P19" s="2">
        <f t="shared" si="1"/>
        <v>1.3</v>
      </c>
      <c r="Q19" s="2">
        <f>ROUND(O18/2,0)</f>
        <v>276</v>
      </c>
      <c r="R19" s="2">
        <f t="shared" si="2"/>
        <v>359</v>
      </c>
      <c r="T19" s="2">
        <f>ROUND(S18/2,0)</f>
        <v>1347</v>
      </c>
      <c r="U19" s="2"/>
      <c r="V19" s="2"/>
      <c r="W19" s="2"/>
      <c r="X19" s="2"/>
    </row>
    <row r="20" spans="1:25" x14ac:dyDescent="0.2">
      <c r="A20" s="2" t="s">
        <v>29</v>
      </c>
      <c r="B20">
        <v>2011</v>
      </c>
      <c r="C20">
        <f t="shared" si="0"/>
        <v>2012</v>
      </c>
      <c r="E20" t="s">
        <v>2</v>
      </c>
      <c r="F20" s="2" t="s">
        <v>31</v>
      </c>
      <c r="G20" s="2">
        <v>3530</v>
      </c>
      <c r="H20" s="2">
        <f>ROUND(G20/2,0)</f>
        <v>1765</v>
      </c>
      <c r="I20" s="2">
        <v>49</v>
      </c>
      <c r="J20" s="2">
        <f>ROUND(I20/2,0)</f>
        <v>25</v>
      </c>
      <c r="K20" s="2">
        <f t="shared" si="3"/>
        <v>5344</v>
      </c>
      <c r="L20" s="2">
        <f>ROUND(K20/2,0)</f>
        <v>2672</v>
      </c>
      <c r="M20" s="2">
        <v>2552</v>
      </c>
      <c r="N20" s="2">
        <f>ROUND(M20/2,0)</f>
        <v>1276</v>
      </c>
      <c r="O20" s="2">
        <v>1006</v>
      </c>
      <c r="P20" s="2">
        <f t="shared" si="1"/>
        <v>1.3</v>
      </c>
      <c r="Q20" s="2">
        <f>ROUND(O20/2,0)</f>
        <v>503</v>
      </c>
      <c r="R20" s="2">
        <f t="shared" si="2"/>
        <v>654</v>
      </c>
      <c r="S20">
        <f t="shared" si="4"/>
        <v>4834</v>
      </c>
      <c r="T20" s="2">
        <f>ROUND(S20/2,0)</f>
        <v>2417</v>
      </c>
      <c r="U20" s="2">
        <v>2548</v>
      </c>
      <c r="V20" s="2">
        <v>960</v>
      </c>
      <c r="W20" s="2">
        <v>4</v>
      </c>
      <c r="X20" s="2">
        <v>45</v>
      </c>
      <c r="Y20">
        <f t="shared" si="5"/>
        <v>3557</v>
      </c>
    </row>
    <row r="21" spans="1:25" x14ac:dyDescent="0.2">
      <c r="A21" s="2" t="s">
        <v>29</v>
      </c>
      <c r="B21">
        <v>2012</v>
      </c>
      <c r="C21">
        <f t="shared" si="0"/>
        <v>2013</v>
      </c>
      <c r="E21" t="s">
        <v>2</v>
      </c>
      <c r="F21" s="2" t="s">
        <v>31</v>
      </c>
      <c r="G21" s="2"/>
      <c r="H21" s="2">
        <f>ROUND(G20/2,0)</f>
        <v>1765</v>
      </c>
      <c r="I21" s="2"/>
      <c r="J21" s="2">
        <f>ROUND(I20/2,0)</f>
        <v>25</v>
      </c>
      <c r="K21" s="2"/>
      <c r="L21" s="2">
        <f>ROUND(K20/2,0)</f>
        <v>2672</v>
      </c>
      <c r="M21" s="2"/>
      <c r="N21" s="2">
        <f>ROUND(M20/2,0)</f>
        <v>1276</v>
      </c>
      <c r="O21" s="2"/>
      <c r="P21" s="2">
        <f t="shared" si="1"/>
        <v>1.3</v>
      </c>
      <c r="Q21" s="2">
        <f>ROUND(O20/2,0)</f>
        <v>503</v>
      </c>
      <c r="R21" s="2">
        <f t="shared" si="2"/>
        <v>654</v>
      </c>
      <c r="T21" s="2">
        <f>ROUND(S20/2,0)</f>
        <v>2417</v>
      </c>
      <c r="U21" s="2"/>
      <c r="V21" s="2"/>
      <c r="W21" s="2"/>
      <c r="X21" s="2"/>
    </row>
    <row r="22" spans="1:25" x14ac:dyDescent="0.2">
      <c r="A22" s="2" t="s">
        <v>32</v>
      </c>
      <c r="B22">
        <v>2013</v>
      </c>
      <c r="C22">
        <f t="shared" si="0"/>
        <v>2014</v>
      </c>
      <c r="E22" t="s">
        <v>2</v>
      </c>
      <c r="F22" s="2" t="s">
        <v>30</v>
      </c>
      <c r="G22" s="2">
        <v>1884</v>
      </c>
      <c r="H22" s="2">
        <f>ROUND(G22/2,0)</f>
        <v>942</v>
      </c>
      <c r="I22" s="2">
        <v>72</v>
      </c>
      <c r="J22" s="2">
        <f>ROUND(I22/2,0)</f>
        <v>36</v>
      </c>
      <c r="K22" s="2">
        <f t="shared" si="3"/>
        <v>2898</v>
      </c>
      <c r="L22" s="2">
        <f>ROUND(K22/2,0)</f>
        <v>1449</v>
      </c>
      <c r="M22" s="2">
        <v>1376</v>
      </c>
      <c r="N22" s="2">
        <f>ROUND(M22/2,0)</f>
        <v>688</v>
      </c>
      <c r="O22" s="2">
        <v>571</v>
      </c>
      <c r="P22" s="2">
        <f t="shared" si="1"/>
        <v>1.3</v>
      </c>
      <c r="Q22" s="2">
        <f>ROUND(O22/2,0)</f>
        <v>286</v>
      </c>
      <c r="R22" s="2">
        <f t="shared" si="2"/>
        <v>372</v>
      </c>
      <c r="S22">
        <f t="shared" si="4"/>
        <v>2635</v>
      </c>
      <c r="T22" s="2">
        <f>ROUND(S22/2,0)</f>
        <v>1318</v>
      </c>
      <c r="U22" s="2">
        <v>1372</v>
      </c>
      <c r="V22" s="2">
        <v>503</v>
      </c>
      <c r="W22" s="2">
        <v>4</v>
      </c>
      <c r="X22" s="2">
        <v>68</v>
      </c>
      <c r="Y22">
        <f t="shared" si="5"/>
        <v>1947</v>
      </c>
    </row>
    <row r="23" spans="1:25" x14ac:dyDescent="0.2">
      <c r="A23" s="2" t="s">
        <v>32</v>
      </c>
      <c r="B23">
        <v>2014</v>
      </c>
      <c r="C23">
        <f t="shared" si="0"/>
        <v>2015</v>
      </c>
      <c r="E23" t="s">
        <v>2</v>
      </c>
      <c r="F23" s="2" t="s">
        <v>30</v>
      </c>
      <c r="G23" s="2"/>
      <c r="H23" s="2">
        <f>ROUND(G22/2,0)</f>
        <v>942</v>
      </c>
      <c r="I23" s="2"/>
      <c r="J23" s="2">
        <f>ROUND(I22/2,0)</f>
        <v>36</v>
      </c>
      <c r="K23" s="2"/>
      <c r="L23" s="2">
        <f>ROUND(K22/2,0)</f>
        <v>1449</v>
      </c>
      <c r="M23" s="2"/>
      <c r="N23" s="2">
        <f>ROUND(M22/2,0)</f>
        <v>688</v>
      </c>
      <c r="O23" s="2"/>
      <c r="P23" s="2">
        <f t="shared" si="1"/>
        <v>1.3</v>
      </c>
      <c r="Q23" s="2">
        <f>ROUND(O22/2,0)</f>
        <v>286</v>
      </c>
      <c r="R23" s="2">
        <f t="shared" si="2"/>
        <v>372</v>
      </c>
      <c r="T23" s="2">
        <f>ROUND(S22/2,0)</f>
        <v>1318</v>
      </c>
      <c r="U23" s="2"/>
      <c r="V23" s="2"/>
      <c r="W23" s="2"/>
      <c r="X23" s="2"/>
    </row>
    <row r="24" spans="1:25" x14ac:dyDescent="0.2">
      <c r="A24" s="2" t="s">
        <v>32</v>
      </c>
      <c r="B24">
        <v>2013</v>
      </c>
      <c r="C24">
        <f t="shared" si="0"/>
        <v>2014</v>
      </c>
      <c r="E24" t="s">
        <v>2</v>
      </c>
      <c r="F24" s="2" t="s">
        <v>31</v>
      </c>
      <c r="G24" s="2">
        <v>3669</v>
      </c>
      <c r="H24" s="2">
        <f>ROUND(G24/2,0)</f>
        <v>1835</v>
      </c>
      <c r="I24" s="2">
        <v>43</v>
      </c>
      <c r="J24" s="2">
        <f>ROUND(I24/2,0)</f>
        <v>22</v>
      </c>
      <c r="K24" s="2">
        <f t="shared" si="3"/>
        <v>5547</v>
      </c>
      <c r="L24" s="2">
        <f>ROUND(K24/2,0)</f>
        <v>2774</v>
      </c>
      <c r="M24" s="2">
        <v>2639</v>
      </c>
      <c r="N24" s="2">
        <f>ROUND(M24/2,0)</f>
        <v>1320</v>
      </c>
      <c r="O24" s="2">
        <v>1055</v>
      </c>
      <c r="P24" s="2">
        <f t="shared" si="1"/>
        <v>1.3</v>
      </c>
      <c r="Q24" s="2">
        <f>ROUND(O24/2,0)</f>
        <v>528</v>
      </c>
      <c r="R24" s="2">
        <f t="shared" si="2"/>
        <v>686</v>
      </c>
      <c r="S24">
        <f t="shared" si="4"/>
        <v>5014</v>
      </c>
      <c r="T24" s="2">
        <f>ROUND(S24/2,0)</f>
        <v>2507</v>
      </c>
      <c r="U24" s="2">
        <v>2633</v>
      </c>
      <c r="V24" s="2">
        <v>1015</v>
      </c>
      <c r="W24" s="2">
        <v>5</v>
      </c>
      <c r="X24" s="2">
        <v>38</v>
      </c>
      <c r="Y24">
        <f t="shared" si="5"/>
        <v>3691</v>
      </c>
    </row>
    <row r="25" spans="1:25" x14ac:dyDescent="0.2">
      <c r="A25" s="2" t="s">
        <v>32</v>
      </c>
      <c r="B25">
        <v>2014</v>
      </c>
      <c r="C25">
        <f t="shared" si="0"/>
        <v>2015</v>
      </c>
      <c r="E25" t="s">
        <v>2</v>
      </c>
      <c r="F25" s="2" t="s">
        <v>31</v>
      </c>
      <c r="G25" s="2"/>
      <c r="H25" s="2">
        <f>ROUND(G24/2,0)</f>
        <v>1835</v>
      </c>
      <c r="I25" s="2"/>
      <c r="J25" s="2">
        <f>ROUND(I24/2,0)</f>
        <v>22</v>
      </c>
      <c r="K25" s="2"/>
      <c r="L25" s="2">
        <f>ROUND(K24/2,0)</f>
        <v>2774</v>
      </c>
      <c r="M25" s="2"/>
      <c r="N25" s="2">
        <f>ROUND(M24/2,0)</f>
        <v>1320</v>
      </c>
      <c r="O25" s="2"/>
      <c r="P25" s="2">
        <f t="shared" si="1"/>
        <v>1.3</v>
      </c>
      <c r="Q25" s="2">
        <f>ROUND(O24/2,0)</f>
        <v>528</v>
      </c>
      <c r="R25" s="2">
        <f t="shared" si="2"/>
        <v>686</v>
      </c>
      <c r="T25" s="2">
        <f>ROUND(S24/2,0)</f>
        <v>2507</v>
      </c>
      <c r="U25" s="2"/>
      <c r="V25" s="2"/>
      <c r="W25" s="2"/>
      <c r="X25" s="2"/>
    </row>
    <row r="26" spans="1:25" x14ac:dyDescent="0.2">
      <c r="A26" s="2" t="s">
        <v>33</v>
      </c>
      <c r="B26">
        <v>2015</v>
      </c>
      <c r="C26">
        <f t="shared" si="0"/>
        <v>2016</v>
      </c>
      <c r="E26" t="s">
        <v>2</v>
      </c>
      <c r="F26" s="2" t="s">
        <v>30</v>
      </c>
      <c r="G26" s="2">
        <v>1596</v>
      </c>
      <c r="H26" s="2">
        <f>ROUND(G26/2,0)</f>
        <v>798</v>
      </c>
      <c r="I26" s="2">
        <v>62</v>
      </c>
      <c r="J26" s="2">
        <f>ROUND(I26/2,0)</f>
        <v>31</v>
      </c>
      <c r="K26" s="2">
        <f t="shared" si="3"/>
        <v>2456</v>
      </c>
      <c r="L26" s="2">
        <f>ROUND(K26/2,0)</f>
        <v>1228</v>
      </c>
      <c r="M26" s="2">
        <v>1177</v>
      </c>
      <c r="N26" s="2">
        <f>ROUND(M26/2,0)</f>
        <v>589</v>
      </c>
      <c r="O26" s="2">
        <v>477</v>
      </c>
      <c r="P26" s="2">
        <f t="shared" si="1"/>
        <v>1.3</v>
      </c>
      <c r="Q26" s="2">
        <f>ROUND(O26/2,0)</f>
        <v>239</v>
      </c>
      <c r="R26" s="2">
        <f t="shared" si="2"/>
        <v>311</v>
      </c>
      <c r="S26">
        <f t="shared" si="4"/>
        <v>2243</v>
      </c>
      <c r="T26" s="2">
        <f>ROUND(S26/2,0)</f>
        <v>1122</v>
      </c>
      <c r="U26" s="2">
        <v>1172</v>
      </c>
      <c r="V26" s="2">
        <v>419</v>
      </c>
      <c r="W26" s="2">
        <v>5</v>
      </c>
      <c r="X26" s="2">
        <v>57</v>
      </c>
      <c r="Y26">
        <f t="shared" si="5"/>
        <v>1653</v>
      </c>
    </row>
    <row r="27" spans="1:25" x14ac:dyDescent="0.2">
      <c r="A27" s="2" t="s">
        <v>33</v>
      </c>
      <c r="B27">
        <v>2016</v>
      </c>
      <c r="C27">
        <f t="shared" si="0"/>
        <v>2017</v>
      </c>
      <c r="E27" t="s">
        <v>2</v>
      </c>
      <c r="F27" s="2" t="s">
        <v>30</v>
      </c>
      <c r="G27" s="2"/>
      <c r="H27" s="2">
        <f>ROUND(G26/2,0)</f>
        <v>798</v>
      </c>
      <c r="I27" s="2"/>
      <c r="J27" s="2">
        <f>ROUND(I26/2,0)</f>
        <v>31</v>
      </c>
      <c r="K27" s="2"/>
      <c r="L27" s="2">
        <f>ROUND(K26/2,0)</f>
        <v>1228</v>
      </c>
      <c r="M27" s="2"/>
      <c r="N27" s="2">
        <f>ROUND(M26/2,0)</f>
        <v>589</v>
      </c>
      <c r="O27" s="2"/>
      <c r="P27" s="2">
        <f t="shared" si="1"/>
        <v>1.3</v>
      </c>
      <c r="Q27" s="2">
        <f>ROUND(O26/2,0)</f>
        <v>239</v>
      </c>
      <c r="R27" s="2">
        <f t="shared" si="2"/>
        <v>311</v>
      </c>
      <c r="T27" s="2">
        <f>ROUND(S26/2,0)</f>
        <v>1122</v>
      </c>
      <c r="U27" s="2"/>
      <c r="V27" s="2"/>
      <c r="W27" s="2"/>
      <c r="X27" s="2"/>
    </row>
    <row r="28" spans="1:25" x14ac:dyDescent="0.2">
      <c r="A28" s="2" t="s">
        <v>33</v>
      </c>
      <c r="B28">
        <v>2015</v>
      </c>
      <c r="C28">
        <f t="shared" si="0"/>
        <v>2016</v>
      </c>
      <c r="E28" t="s">
        <v>2</v>
      </c>
      <c r="F28" s="2" t="s">
        <v>31</v>
      </c>
      <c r="G28" s="2">
        <v>3796</v>
      </c>
      <c r="H28" s="2">
        <f>ROUND(G28/2,0)</f>
        <v>1898</v>
      </c>
      <c r="I28" s="2">
        <v>47</v>
      </c>
      <c r="J28" s="2">
        <f>ROUND(I28/2,0)</f>
        <v>24</v>
      </c>
      <c r="K28" s="2">
        <f t="shared" si="3"/>
        <v>5741</v>
      </c>
      <c r="L28" s="2">
        <f>ROUND(K28/2,0)</f>
        <v>2871</v>
      </c>
      <c r="M28" s="2">
        <v>2765</v>
      </c>
      <c r="N28" s="2">
        <f>ROUND(M28/2,0)</f>
        <v>1383</v>
      </c>
      <c r="O28" s="2">
        <v>1065</v>
      </c>
      <c r="P28" s="2">
        <f t="shared" si="1"/>
        <v>1.3</v>
      </c>
      <c r="Q28" s="2">
        <f>ROUND(O28/2,0)</f>
        <v>533</v>
      </c>
      <c r="R28" s="2">
        <f t="shared" si="2"/>
        <v>693</v>
      </c>
      <c r="S28">
        <f t="shared" si="4"/>
        <v>5213</v>
      </c>
      <c r="T28" s="2">
        <f>ROUND(S28/2,0)</f>
        <v>2607</v>
      </c>
      <c r="U28" s="2">
        <v>2760</v>
      </c>
      <c r="V28" s="2">
        <v>1022</v>
      </c>
      <c r="W28" s="2">
        <v>5</v>
      </c>
      <c r="X28" s="2">
        <v>42</v>
      </c>
      <c r="Y28">
        <f t="shared" si="5"/>
        <v>3829</v>
      </c>
    </row>
    <row r="29" spans="1:25" x14ac:dyDescent="0.2">
      <c r="A29" s="2" t="s">
        <v>33</v>
      </c>
      <c r="B29">
        <v>2016</v>
      </c>
      <c r="C29">
        <f t="shared" si="0"/>
        <v>2017</v>
      </c>
      <c r="E29" t="s">
        <v>2</v>
      </c>
      <c r="F29" s="2" t="s">
        <v>31</v>
      </c>
      <c r="G29" s="2"/>
      <c r="H29" s="2">
        <f>ROUND(G28/2,0)</f>
        <v>1898</v>
      </c>
      <c r="I29" s="2"/>
      <c r="J29" s="2">
        <f>ROUND(I28/2,0)</f>
        <v>24</v>
      </c>
      <c r="K29" s="2"/>
      <c r="L29" s="2">
        <f>ROUND(K28/2,0)</f>
        <v>2871</v>
      </c>
      <c r="M29" s="2"/>
      <c r="N29" s="2">
        <f>ROUND(M28/2,0)</f>
        <v>1383</v>
      </c>
      <c r="O29" s="2"/>
      <c r="P29" s="2">
        <f t="shared" si="1"/>
        <v>1.3</v>
      </c>
      <c r="Q29" s="2">
        <f>ROUND(O28/2,0)</f>
        <v>533</v>
      </c>
      <c r="R29" s="2">
        <f t="shared" si="2"/>
        <v>693</v>
      </c>
      <c r="T29" s="2">
        <f>ROUND(S28/2,0)</f>
        <v>2607</v>
      </c>
      <c r="U29" s="2"/>
      <c r="V29" s="2"/>
      <c r="W29" s="2"/>
      <c r="X29" s="2"/>
    </row>
    <row r="30" spans="1:25" x14ac:dyDescent="0.2">
      <c r="A30" s="2" t="s">
        <v>36</v>
      </c>
      <c r="B30">
        <v>2017</v>
      </c>
      <c r="C30">
        <f t="shared" si="0"/>
        <v>2018</v>
      </c>
      <c r="E30" t="s">
        <v>2</v>
      </c>
      <c r="F30" s="2" t="s">
        <v>30</v>
      </c>
      <c r="G30" s="2">
        <v>1709</v>
      </c>
      <c r="H30" s="2">
        <f>ROUND(G30/2,0)</f>
        <v>855</v>
      </c>
      <c r="I30" s="2">
        <v>63</v>
      </c>
      <c r="J30" s="2">
        <f>ROUND(I30/2,0)</f>
        <v>32</v>
      </c>
      <c r="K30" s="2">
        <f t="shared" si="3"/>
        <v>2627</v>
      </c>
      <c r="L30" s="2">
        <f>ROUND(K30/2,0)</f>
        <v>1314</v>
      </c>
      <c r="M30" s="2">
        <v>1301</v>
      </c>
      <c r="N30" s="2">
        <f>ROUND(M30/2,0)</f>
        <v>651</v>
      </c>
      <c r="O30" s="2">
        <v>468</v>
      </c>
      <c r="P30" s="2">
        <f t="shared" si="1"/>
        <v>1.3</v>
      </c>
      <c r="Q30" s="2">
        <f>ROUND(O30/2,0)</f>
        <v>234</v>
      </c>
      <c r="R30" s="2">
        <f t="shared" si="2"/>
        <v>304</v>
      </c>
      <c r="S30">
        <f t="shared" si="4"/>
        <v>2420</v>
      </c>
      <c r="T30" s="2">
        <f>ROUND(S30/2,0)</f>
        <v>1210</v>
      </c>
      <c r="U30" s="2">
        <v>1297</v>
      </c>
      <c r="V30" s="2">
        <v>407</v>
      </c>
      <c r="W30" s="2">
        <v>3</v>
      </c>
      <c r="X30" s="2">
        <v>60</v>
      </c>
      <c r="Y30">
        <f t="shared" si="5"/>
        <v>1767</v>
      </c>
    </row>
    <row r="31" spans="1:25" x14ac:dyDescent="0.2">
      <c r="A31" s="2" t="s">
        <v>36</v>
      </c>
      <c r="B31">
        <v>2018</v>
      </c>
      <c r="C31">
        <f t="shared" si="0"/>
        <v>2019</v>
      </c>
      <c r="E31" t="s">
        <v>2</v>
      </c>
      <c r="F31" s="2" t="s">
        <v>30</v>
      </c>
      <c r="G31" s="2"/>
      <c r="H31" s="2">
        <f>ROUND(G30/2,0)</f>
        <v>855</v>
      </c>
      <c r="I31" s="2"/>
      <c r="J31" s="2">
        <f>ROUND(I30/2,0)</f>
        <v>32</v>
      </c>
      <c r="K31" s="2"/>
      <c r="L31" s="2">
        <f>ROUND(K30/2,0)</f>
        <v>1314</v>
      </c>
      <c r="M31" s="2"/>
      <c r="N31" s="2">
        <f>ROUND(M30/2,0)</f>
        <v>651</v>
      </c>
      <c r="O31" s="2"/>
      <c r="P31" s="2">
        <f t="shared" si="1"/>
        <v>1.3</v>
      </c>
      <c r="Q31" s="2">
        <f>ROUND(O30/2,0)</f>
        <v>234</v>
      </c>
      <c r="R31" s="2">
        <f t="shared" si="2"/>
        <v>304</v>
      </c>
      <c r="T31" s="2">
        <f>ROUND(S30/2,0)</f>
        <v>1210</v>
      </c>
      <c r="U31" s="2"/>
      <c r="V31" s="2"/>
      <c r="W31" s="2"/>
      <c r="X31" s="2"/>
    </row>
    <row r="32" spans="1:25" x14ac:dyDescent="0.2">
      <c r="A32" s="2" t="s">
        <v>36</v>
      </c>
      <c r="B32">
        <v>2017</v>
      </c>
      <c r="C32">
        <f t="shared" si="0"/>
        <v>2018</v>
      </c>
      <c r="E32" t="s">
        <v>2</v>
      </c>
      <c r="F32" s="2" t="s">
        <v>31</v>
      </c>
      <c r="G32" s="2">
        <v>4258</v>
      </c>
      <c r="H32" s="2">
        <f>ROUND(G32/2,0)</f>
        <v>2129</v>
      </c>
      <c r="I32" s="2">
        <v>49</v>
      </c>
      <c r="J32" s="2">
        <f>ROUND(I32/2,0)</f>
        <v>25</v>
      </c>
      <c r="K32" s="2">
        <f t="shared" si="3"/>
        <v>6436</v>
      </c>
      <c r="L32" s="2">
        <f>ROUND(K32/2,0)</f>
        <v>3218</v>
      </c>
      <c r="M32" s="2">
        <v>3058</v>
      </c>
      <c r="N32" s="2">
        <f>ROUND(M32/2,0)</f>
        <v>1529</v>
      </c>
      <c r="O32" s="2">
        <v>1229</v>
      </c>
      <c r="P32" s="2">
        <f t="shared" si="1"/>
        <v>1.3</v>
      </c>
      <c r="Q32" s="2">
        <f>ROUND(O32/2,0)</f>
        <v>615</v>
      </c>
      <c r="R32" s="2">
        <f t="shared" si="2"/>
        <v>800</v>
      </c>
      <c r="S32">
        <f t="shared" si="4"/>
        <v>5816</v>
      </c>
      <c r="T32" s="2">
        <f>ROUND(S32/2,0)</f>
        <v>2908</v>
      </c>
      <c r="U32" s="2">
        <v>3051</v>
      </c>
      <c r="V32" s="2">
        <v>1184</v>
      </c>
      <c r="W32" s="2">
        <v>5</v>
      </c>
      <c r="X32" s="2">
        <v>44</v>
      </c>
      <c r="Y32">
        <f t="shared" si="5"/>
        <v>4284</v>
      </c>
    </row>
    <row r="33" spans="1:25" x14ac:dyDescent="0.2">
      <c r="A33" s="2" t="s">
        <v>36</v>
      </c>
      <c r="B33">
        <v>2018</v>
      </c>
      <c r="C33">
        <f t="shared" si="0"/>
        <v>2019</v>
      </c>
      <c r="E33" t="s">
        <v>2</v>
      </c>
      <c r="F33" s="2" t="s">
        <v>31</v>
      </c>
      <c r="G33" s="2"/>
      <c r="H33" s="2">
        <f>ROUND(G32/2,0)</f>
        <v>2129</v>
      </c>
      <c r="I33" s="2"/>
      <c r="J33" s="2">
        <f>ROUND(I32/2,0)</f>
        <v>25</v>
      </c>
      <c r="K33" s="2"/>
      <c r="L33" s="2">
        <f>ROUND(K32/2,0)</f>
        <v>3218</v>
      </c>
      <c r="M33" s="2"/>
      <c r="N33" s="2">
        <f>ROUND(M32/2,0)</f>
        <v>1529</v>
      </c>
      <c r="O33" s="2"/>
      <c r="P33" s="2">
        <f t="shared" si="1"/>
        <v>1.3</v>
      </c>
      <c r="Q33" s="2">
        <f>ROUND(O32/2,0)</f>
        <v>615</v>
      </c>
      <c r="R33" s="2">
        <f t="shared" si="2"/>
        <v>800</v>
      </c>
      <c r="T33" s="2">
        <f>ROUND(S32/2,0)</f>
        <v>2908</v>
      </c>
      <c r="U33" s="2"/>
      <c r="V33" s="2"/>
      <c r="W33" s="2"/>
      <c r="X33" s="2"/>
    </row>
    <row r="34" spans="1:25" x14ac:dyDescent="0.2">
      <c r="A34" s="2" t="s">
        <v>29</v>
      </c>
      <c r="B34">
        <v>2011</v>
      </c>
      <c r="C34">
        <f t="shared" si="0"/>
        <v>2012</v>
      </c>
      <c r="E34" t="s">
        <v>3</v>
      </c>
      <c r="F34" s="2" t="s">
        <v>30</v>
      </c>
      <c r="G34" s="2">
        <v>1866</v>
      </c>
      <c r="H34" s="2">
        <f>ROUND(G34/2,0)</f>
        <v>933</v>
      </c>
      <c r="I34" s="2">
        <v>21</v>
      </c>
      <c r="J34" s="2">
        <f>ROUND(I34/2,0)</f>
        <v>11</v>
      </c>
      <c r="K34" s="2">
        <f t="shared" ref="K34:K48" si="6">SUM(G34:I34)</f>
        <v>2820</v>
      </c>
      <c r="L34" s="2">
        <f>ROUND(K34/2,0)</f>
        <v>1410</v>
      </c>
      <c r="M34" s="2">
        <v>1540</v>
      </c>
      <c r="N34" s="2">
        <f>ROUND(M34/2,0)</f>
        <v>770</v>
      </c>
      <c r="O34" s="2">
        <v>345</v>
      </c>
      <c r="P34" s="2">
        <f t="shared" si="1"/>
        <v>1.3</v>
      </c>
      <c r="Q34" s="2">
        <f>ROUND(O34/2,0)</f>
        <v>173</v>
      </c>
      <c r="R34" s="2">
        <f t="shared" si="2"/>
        <v>225</v>
      </c>
      <c r="S34">
        <f t="shared" si="4"/>
        <v>2655</v>
      </c>
      <c r="T34" s="2">
        <f>ROUND(S34/2,0)</f>
        <v>1328</v>
      </c>
      <c r="U34" s="2">
        <v>1535</v>
      </c>
      <c r="V34" s="2">
        <v>326</v>
      </c>
      <c r="W34" s="2">
        <v>3</v>
      </c>
      <c r="X34" s="2">
        <v>18</v>
      </c>
      <c r="Y34">
        <f t="shared" si="5"/>
        <v>1882</v>
      </c>
    </row>
    <row r="35" spans="1:25" x14ac:dyDescent="0.2">
      <c r="A35" s="2" t="s">
        <v>29</v>
      </c>
      <c r="B35">
        <v>2012</v>
      </c>
      <c r="C35">
        <f t="shared" si="0"/>
        <v>2013</v>
      </c>
      <c r="E35" t="s">
        <v>3</v>
      </c>
      <c r="F35" s="2" t="s">
        <v>30</v>
      </c>
      <c r="G35" s="2"/>
      <c r="H35" s="2">
        <f>ROUND(G34/2,0)</f>
        <v>933</v>
      </c>
      <c r="I35" s="2"/>
      <c r="J35" s="2">
        <f>ROUND(I34/2,0)</f>
        <v>11</v>
      </c>
      <c r="K35" s="2"/>
      <c r="L35" s="2">
        <f>ROUND(K34/2,0)</f>
        <v>1410</v>
      </c>
      <c r="M35" s="2"/>
      <c r="N35" s="2">
        <f>ROUND(M34/2,0)</f>
        <v>770</v>
      </c>
      <c r="O35" s="2"/>
      <c r="P35" s="2">
        <f t="shared" si="1"/>
        <v>1.3</v>
      </c>
      <c r="Q35" s="2">
        <f>ROUND(O34/2,0)</f>
        <v>173</v>
      </c>
      <c r="R35" s="2">
        <f t="shared" si="2"/>
        <v>225</v>
      </c>
      <c r="T35" s="2">
        <f>ROUND(S34/2,0)</f>
        <v>1328</v>
      </c>
      <c r="U35" s="2"/>
      <c r="V35" s="2"/>
      <c r="W35" s="2"/>
      <c r="X35" s="2"/>
    </row>
    <row r="36" spans="1:25" x14ac:dyDescent="0.2">
      <c r="A36" s="2" t="s">
        <v>29</v>
      </c>
      <c r="B36">
        <v>2011</v>
      </c>
      <c r="C36">
        <f t="shared" si="0"/>
        <v>2012</v>
      </c>
      <c r="E36" t="s">
        <v>3</v>
      </c>
      <c r="F36" s="2" t="s">
        <v>31</v>
      </c>
      <c r="G36" s="2">
        <v>2867</v>
      </c>
      <c r="H36" s="2">
        <f>ROUND(G36/2,0)</f>
        <v>1434</v>
      </c>
      <c r="I36" s="2">
        <v>28</v>
      </c>
      <c r="J36" s="2">
        <f>ROUND(I36/2,0)</f>
        <v>14</v>
      </c>
      <c r="K36" s="2">
        <f t="shared" si="6"/>
        <v>4329</v>
      </c>
      <c r="L36" s="2">
        <f>ROUND(K36/2,0)</f>
        <v>2165</v>
      </c>
      <c r="M36" s="2">
        <v>2363</v>
      </c>
      <c r="N36" s="2">
        <f>ROUND(M36/2,0)</f>
        <v>1182</v>
      </c>
      <c r="O36" s="2">
        <v>528</v>
      </c>
      <c r="P36" s="2">
        <f t="shared" si="1"/>
        <v>1.3</v>
      </c>
      <c r="Q36" s="2">
        <f>ROUND(O36/2,0)</f>
        <v>264</v>
      </c>
      <c r="R36" s="2">
        <f t="shared" si="2"/>
        <v>343</v>
      </c>
      <c r="S36">
        <f t="shared" si="4"/>
        <v>4073</v>
      </c>
      <c r="T36" s="2">
        <f>ROUND(S36/2,0)</f>
        <v>2037</v>
      </c>
      <c r="U36" s="2">
        <v>2361</v>
      </c>
      <c r="V36" s="2">
        <v>502</v>
      </c>
      <c r="W36" s="2">
        <v>2</v>
      </c>
      <c r="X36" s="2">
        <v>26</v>
      </c>
      <c r="Y36">
        <f t="shared" si="5"/>
        <v>2891</v>
      </c>
    </row>
    <row r="37" spans="1:25" x14ac:dyDescent="0.2">
      <c r="A37" s="2" t="s">
        <v>29</v>
      </c>
      <c r="B37">
        <v>2012</v>
      </c>
      <c r="C37">
        <f t="shared" si="0"/>
        <v>2013</v>
      </c>
      <c r="E37" t="s">
        <v>3</v>
      </c>
      <c r="F37" s="2" t="s">
        <v>31</v>
      </c>
      <c r="G37" s="2"/>
      <c r="H37" s="2">
        <f>ROUND(G36/2,0)</f>
        <v>1434</v>
      </c>
      <c r="I37" s="2"/>
      <c r="J37" s="2">
        <f>ROUND(I36/2,0)</f>
        <v>14</v>
      </c>
      <c r="K37" s="2"/>
      <c r="L37" s="2">
        <f>ROUND(K36/2,0)</f>
        <v>2165</v>
      </c>
      <c r="M37" s="2"/>
      <c r="N37" s="2">
        <f>ROUND(M36/2,0)</f>
        <v>1182</v>
      </c>
      <c r="O37" s="2"/>
      <c r="P37" s="2">
        <f t="shared" si="1"/>
        <v>1.3</v>
      </c>
      <c r="Q37" s="2">
        <f>ROUND(O36/2,0)</f>
        <v>264</v>
      </c>
      <c r="R37" s="2">
        <f t="shared" si="2"/>
        <v>343</v>
      </c>
      <c r="T37" s="2">
        <f>ROUND(S36/2,0)</f>
        <v>2037</v>
      </c>
      <c r="U37" s="2"/>
      <c r="V37" s="2"/>
      <c r="W37" s="2"/>
      <c r="X37" s="2"/>
    </row>
    <row r="38" spans="1:25" x14ac:dyDescent="0.2">
      <c r="A38" s="2" t="s">
        <v>32</v>
      </c>
      <c r="B38">
        <v>2013</v>
      </c>
      <c r="C38">
        <f t="shared" si="0"/>
        <v>2014</v>
      </c>
      <c r="E38" t="s">
        <v>3</v>
      </c>
      <c r="F38" s="2" t="s">
        <v>30</v>
      </c>
      <c r="G38" s="2">
        <v>1697</v>
      </c>
      <c r="H38" s="2">
        <f>ROUND(G38/2,0)</f>
        <v>849</v>
      </c>
      <c r="I38" s="2">
        <v>24</v>
      </c>
      <c r="J38" s="2">
        <f>ROUND(I38/2,0)</f>
        <v>12</v>
      </c>
      <c r="K38" s="2">
        <f t="shared" si="6"/>
        <v>2570</v>
      </c>
      <c r="L38" s="2">
        <f>ROUND(K38/2,0)</f>
        <v>1285</v>
      </c>
      <c r="M38" s="2">
        <v>1450</v>
      </c>
      <c r="N38" s="2">
        <f>ROUND(M38/2,0)</f>
        <v>725</v>
      </c>
      <c r="O38" s="2">
        <v>266</v>
      </c>
      <c r="P38" s="2">
        <f t="shared" si="1"/>
        <v>1.3</v>
      </c>
      <c r="Q38" s="2">
        <f>ROUND(O38/2,0)</f>
        <v>133</v>
      </c>
      <c r="R38" s="2">
        <f t="shared" si="2"/>
        <v>173</v>
      </c>
      <c r="S38">
        <f t="shared" si="4"/>
        <v>2441</v>
      </c>
      <c r="T38" s="2">
        <f>ROUND(S38/2,0)</f>
        <v>1221</v>
      </c>
      <c r="U38" s="2">
        <v>1446</v>
      </c>
      <c r="V38" s="2">
        <v>245</v>
      </c>
      <c r="W38" s="2">
        <v>3</v>
      </c>
      <c r="X38" s="2">
        <v>21</v>
      </c>
      <c r="Y38">
        <f t="shared" si="5"/>
        <v>1715</v>
      </c>
    </row>
    <row r="39" spans="1:25" x14ac:dyDescent="0.2">
      <c r="A39" s="2" t="s">
        <v>32</v>
      </c>
      <c r="B39">
        <v>2014</v>
      </c>
      <c r="C39">
        <f t="shared" si="0"/>
        <v>2015</v>
      </c>
      <c r="E39" t="s">
        <v>3</v>
      </c>
      <c r="F39" s="2" t="s">
        <v>30</v>
      </c>
      <c r="G39" s="2"/>
      <c r="H39" s="2">
        <f>ROUND(G38/2,0)</f>
        <v>849</v>
      </c>
      <c r="I39" s="2"/>
      <c r="J39" s="2">
        <f>ROUND(I38/2,0)</f>
        <v>12</v>
      </c>
      <c r="K39" s="2"/>
      <c r="L39" s="2">
        <f>ROUND(K38/2,0)</f>
        <v>1285</v>
      </c>
      <c r="M39" s="2"/>
      <c r="N39" s="2">
        <f>ROUND(M38/2,0)</f>
        <v>725</v>
      </c>
      <c r="O39" s="2"/>
      <c r="P39" s="2">
        <f t="shared" si="1"/>
        <v>1.3</v>
      </c>
      <c r="Q39" s="2">
        <f>ROUND(O38/2,0)</f>
        <v>133</v>
      </c>
      <c r="R39" s="2">
        <f t="shared" si="2"/>
        <v>173</v>
      </c>
      <c r="T39" s="2">
        <f>ROUND(S38/2,0)</f>
        <v>1221</v>
      </c>
      <c r="U39" s="2"/>
      <c r="V39" s="2"/>
      <c r="W39" s="2"/>
      <c r="X39" s="2"/>
    </row>
    <row r="40" spans="1:25" x14ac:dyDescent="0.2">
      <c r="A40" s="2" t="s">
        <v>32</v>
      </c>
      <c r="B40">
        <v>2013</v>
      </c>
      <c r="C40">
        <f t="shared" si="0"/>
        <v>2014</v>
      </c>
      <c r="E40" t="s">
        <v>3</v>
      </c>
      <c r="F40" s="2" t="s">
        <v>31</v>
      </c>
      <c r="G40" s="2">
        <v>2727</v>
      </c>
      <c r="H40" s="2">
        <f>ROUND(G40/2,0)</f>
        <v>1364</v>
      </c>
      <c r="I40" s="2">
        <v>23</v>
      </c>
      <c r="J40" s="2">
        <f>ROUND(I40/2,0)</f>
        <v>12</v>
      </c>
      <c r="K40" s="2">
        <f t="shared" si="6"/>
        <v>4114</v>
      </c>
      <c r="L40" s="2">
        <f>ROUND(K40/2,0)</f>
        <v>2057</v>
      </c>
      <c r="M40" s="2">
        <v>2258</v>
      </c>
      <c r="N40" s="2">
        <f>ROUND(M40/2,0)</f>
        <v>1129</v>
      </c>
      <c r="O40" s="2">
        <v>492</v>
      </c>
      <c r="P40" s="2">
        <f t="shared" si="1"/>
        <v>1.3</v>
      </c>
      <c r="Q40" s="2">
        <f>ROUND(O40/2,0)</f>
        <v>246</v>
      </c>
      <c r="R40" s="2">
        <f t="shared" si="2"/>
        <v>320</v>
      </c>
      <c r="S40">
        <f t="shared" si="4"/>
        <v>3879</v>
      </c>
      <c r="T40" s="2">
        <f>ROUND(S40/2,0)</f>
        <v>1940</v>
      </c>
      <c r="U40" s="2">
        <v>2252</v>
      </c>
      <c r="V40" s="2">
        <v>471</v>
      </c>
      <c r="W40" s="2">
        <v>2</v>
      </c>
      <c r="X40" s="2">
        <v>21</v>
      </c>
      <c r="Y40">
        <f t="shared" si="5"/>
        <v>2746</v>
      </c>
    </row>
    <row r="41" spans="1:25" x14ac:dyDescent="0.2">
      <c r="A41" s="2" t="s">
        <v>32</v>
      </c>
      <c r="B41">
        <v>2014</v>
      </c>
      <c r="C41">
        <f t="shared" si="0"/>
        <v>2015</v>
      </c>
      <c r="E41" t="s">
        <v>3</v>
      </c>
      <c r="F41" s="2" t="s">
        <v>31</v>
      </c>
      <c r="G41" s="2"/>
      <c r="H41" s="2">
        <f>ROUND(G40/2,0)</f>
        <v>1364</v>
      </c>
      <c r="I41" s="2"/>
      <c r="J41" s="2">
        <f>ROUND(I40/2,0)</f>
        <v>12</v>
      </c>
      <c r="K41" s="2"/>
      <c r="L41" s="2">
        <f>ROUND(K40/2,0)</f>
        <v>2057</v>
      </c>
      <c r="M41" s="2"/>
      <c r="N41" s="2">
        <f>ROUND(M40/2,0)</f>
        <v>1129</v>
      </c>
      <c r="O41" s="2"/>
      <c r="P41" s="2">
        <f t="shared" si="1"/>
        <v>1.3</v>
      </c>
      <c r="Q41" s="2">
        <f>ROUND(O40/2,0)</f>
        <v>246</v>
      </c>
      <c r="R41" s="2">
        <f t="shared" si="2"/>
        <v>320</v>
      </c>
      <c r="T41" s="2">
        <f>ROUND(S40/2,0)</f>
        <v>1940</v>
      </c>
      <c r="U41" s="2"/>
      <c r="V41" s="2"/>
      <c r="W41" s="2"/>
      <c r="X41" s="2"/>
    </row>
    <row r="42" spans="1:25" x14ac:dyDescent="0.2">
      <c r="A42" s="2" t="s">
        <v>33</v>
      </c>
      <c r="B42">
        <v>2015</v>
      </c>
      <c r="C42">
        <f t="shared" si="0"/>
        <v>2016</v>
      </c>
      <c r="E42" t="s">
        <v>3</v>
      </c>
      <c r="F42" s="2" t="s">
        <v>30</v>
      </c>
      <c r="G42" s="2">
        <v>1500</v>
      </c>
      <c r="H42" s="2">
        <f>ROUND(G42/2,0)</f>
        <v>750</v>
      </c>
      <c r="I42" s="2">
        <v>20</v>
      </c>
      <c r="J42" s="2">
        <f>ROUND(I42/2,0)</f>
        <v>10</v>
      </c>
      <c r="K42" s="2">
        <f t="shared" si="6"/>
        <v>2270</v>
      </c>
      <c r="L42" s="2">
        <f>ROUND(K42/2,0)</f>
        <v>1135</v>
      </c>
      <c r="M42" s="2">
        <v>1278</v>
      </c>
      <c r="N42" s="2">
        <f>ROUND(M42/2,0)</f>
        <v>639</v>
      </c>
      <c r="O42" s="2">
        <v>238</v>
      </c>
      <c r="P42" s="2">
        <f t="shared" si="1"/>
        <v>1.3</v>
      </c>
      <c r="Q42" s="2">
        <f>ROUND(O42/2,0)</f>
        <v>119</v>
      </c>
      <c r="R42" s="2">
        <f t="shared" si="2"/>
        <v>155</v>
      </c>
      <c r="S42">
        <f t="shared" si="4"/>
        <v>2155</v>
      </c>
      <c r="T42" s="2">
        <f>ROUND(S42/2,0)</f>
        <v>1078</v>
      </c>
      <c r="U42" s="2">
        <v>1277</v>
      </c>
      <c r="V42" s="2">
        <v>219</v>
      </c>
      <c r="W42" s="2">
        <v>1</v>
      </c>
      <c r="X42" s="2">
        <v>19</v>
      </c>
      <c r="Y42">
        <f t="shared" si="5"/>
        <v>1516</v>
      </c>
    </row>
    <row r="43" spans="1:25" x14ac:dyDescent="0.2">
      <c r="A43" s="2" t="s">
        <v>33</v>
      </c>
      <c r="B43">
        <v>2016</v>
      </c>
      <c r="C43">
        <f t="shared" si="0"/>
        <v>2017</v>
      </c>
      <c r="E43" t="s">
        <v>3</v>
      </c>
      <c r="F43" s="2" t="s">
        <v>30</v>
      </c>
      <c r="G43" s="2"/>
      <c r="H43" s="2">
        <f>ROUND(G42/2,0)</f>
        <v>750</v>
      </c>
      <c r="I43" s="2"/>
      <c r="J43" s="2">
        <f>ROUND(I42/2,0)</f>
        <v>10</v>
      </c>
      <c r="K43" s="2"/>
      <c r="L43" s="2">
        <f>ROUND(K42/2,0)</f>
        <v>1135</v>
      </c>
      <c r="M43" s="2"/>
      <c r="N43" s="2">
        <f>ROUND(M42/2,0)</f>
        <v>639</v>
      </c>
      <c r="O43" s="2"/>
      <c r="P43" s="2">
        <f t="shared" si="1"/>
        <v>1.3</v>
      </c>
      <c r="Q43" s="2">
        <f>ROUND(O42/2,0)</f>
        <v>119</v>
      </c>
      <c r="R43" s="2">
        <f t="shared" si="2"/>
        <v>155</v>
      </c>
      <c r="T43" s="2">
        <f>ROUND(S42/2,0)</f>
        <v>1078</v>
      </c>
      <c r="U43" s="2"/>
      <c r="V43" s="2"/>
      <c r="W43" s="2"/>
      <c r="X43" s="2"/>
    </row>
    <row r="44" spans="1:25" x14ac:dyDescent="0.2">
      <c r="A44" s="2" t="s">
        <v>33</v>
      </c>
      <c r="B44">
        <v>2015</v>
      </c>
      <c r="C44">
        <f t="shared" si="0"/>
        <v>2016</v>
      </c>
      <c r="E44" t="s">
        <v>3</v>
      </c>
      <c r="F44" s="2" t="s">
        <v>31</v>
      </c>
      <c r="G44" s="2">
        <v>2954</v>
      </c>
      <c r="H44" s="2">
        <f>ROUND(G44/2,0)</f>
        <v>1477</v>
      </c>
      <c r="I44" s="2">
        <v>26</v>
      </c>
      <c r="J44" s="2">
        <f>ROUND(I44/2,0)</f>
        <v>13</v>
      </c>
      <c r="K44" s="2">
        <f t="shared" si="6"/>
        <v>4457</v>
      </c>
      <c r="L44" s="2">
        <f>ROUND(K44/2,0)</f>
        <v>2229</v>
      </c>
      <c r="M44" s="2">
        <v>2413</v>
      </c>
      <c r="N44" s="2">
        <f>ROUND(M44/2,0)</f>
        <v>1207</v>
      </c>
      <c r="O44" s="2">
        <v>564</v>
      </c>
      <c r="P44" s="2">
        <f t="shared" si="1"/>
        <v>1.3</v>
      </c>
      <c r="Q44" s="2">
        <f>ROUND(O44/2,0)</f>
        <v>282</v>
      </c>
      <c r="R44" s="2">
        <f t="shared" si="2"/>
        <v>367</v>
      </c>
      <c r="S44">
        <f t="shared" si="4"/>
        <v>4184</v>
      </c>
      <c r="T44" s="2">
        <f>ROUND(S44/2,0)</f>
        <v>2092</v>
      </c>
      <c r="U44" s="2">
        <v>2410</v>
      </c>
      <c r="V44" s="2">
        <v>540</v>
      </c>
      <c r="W44" s="2">
        <v>2</v>
      </c>
      <c r="X44" s="2">
        <v>24</v>
      </c>
      <c r="Y44">
        <f t="shared" si="5"/>
        <v>2976</v>
      </c>
    </row>
    <row r="45" spans="1:25" x14ac:dyDescent="0.2">
      <c r="A45" s="2" t="s">
        <v>33</v>
      </c>
      <c r="B45">
        <v>2016</v>
      </c>
      <c r="C45">
        <f t="shared" si="0"/>
        <v>2017</v>
      </c>
      <c r="E45" t="s">
        <v>3</v>
      </c>
      <c r="F45" s="2" t="s">
        <v>31</v>
      </c>
      <c r="G45" s="2"/>
      <c r="H45" s="2">
        <f>ROUND(G44/2,0)</f>
        <v>1477</v>
      </c>
      <c r="I45" s="2"/>
      <c r="J45" s="2">
        <f>ROUND(I44/2,0)</f>
        <v>13</v>
      </c>
      <c r="K45" s="2"/>
      <c r="L45" s="2">
        <f>ROUND(K44/2,0)</f>
        <v>2229</v>
      </c>
      <c r="M45" s="2"/>
      <c r="N45" s="2">
        <f>ROUND(M44/2,0)</f>
        <v>1207</v>
      </c>
      <c r="O45" s="2"/>
      <c r="P45" s="2">
        <f t="shared" si="1"/>
        <v>1.3</v>
      </c>
      <c r="Q45" s="2">
        <f>ROUND(O44/2,0)</f>
        <v>282</v>
      </c>
      <c r="R45" s="2">
        <f t="shared" si="2"/>
        <v>367</v>
      </c>
      <c r="T45" s="2">
        <f>ROUND(S44/2,0)</f>
        <v>2092</v>
      </c>
      <c r="U45" s="2"/>
      <c r="V45" s="2"/>
      <c r="W45" s="2"/>
      <c r="X45" s="2"/>
    </row>
    <row r="46" spans="1:25" x14ac:dyDescent="0.2">
      <c r="A46" s="2" t="s">
        <v>36</v>
      </c>
      <c r="B46">
        <v>2017</v>
      </c>
      <c r="C46">
        <f t="shared" si="0"/>
        <v>2018</v>
      </c>
      <c r="E46" t="s">
        <v>3</v>
      </c>
      <c r="F46" s="2" t="s">
        <v>30</v>
      </c>
      <c r="G46" s="2">
        <v>1665</v>
      </c>
      <c r="H46" s="2">
        <f>ROUND(G46/2,0)</f>
        <v>833</v>
      </c>
      <c r="I46" s="2">
        <v>18</v>
      </c>
      <c r="J46" s="2">
        <f>ROUND(I46/2,0)</f>
        <v>9</v>
      </c>
      <c r="K46" s="2">
        <f t="shared" si="6"/>
        <v>2516</v>
      </c>
      <c r="L46" s="2">
        <f>ROUND(K46/2,0)</f>
        <v>1258</v>
      </c>
      <c r="M46" s="2">
        <v>1428</v>
      </c>
      <c r="N46" s="2">
        <f>ROUND(M46/2,0)</f>
        <v>714</v>
      </c>
      <c r="O46" s="2">
        <v>249</v>
      </c>
      <c r="P46" s="2">
        <f t="shared" si="1"/>
        <v>1.3</v>
      </c>
      <c r="Q46" s="2">
        <f>ROUND(O46/2,0)</f>
        <v>125</v>
      </c>
      <c r="R46" s="2">
        <f t="shared" si="2"/>
        <v>163</v>
      </c>
      <c r="S46">
        <f t="shared" si="4"/>
        <v>2391</v>
      </c>
      <c r="T46" s="2">
        <f>ROUND(S46/2,0)</f>
        <v>1196</v>
      </c>
      <c r="U46" s="2">
        <v>1426</v>
      </c>
      <c r="V46" s="2">
        <v>232</v>
      </c>
      <c r="W46" s="2">
        <v>2</v>
      </c>
      <c r="X46" s="2">
        <v>16</v>
      </c>
      <c r="Y46">
        <f t="shared" si="5"/>
        <v>1676</v>
      </c>
    </row>
    <row r="47" spans="1:25" x14ac:dyDescent="0.2">
      <c r="A47" s="2" t="s">
        <v>36</v>
      </c>
      <c r="B47">
        <v>2018</v>
      </c>
      <c r="C47">
        <f t="shared" si="0"/>
        <v>2019</v>
      </c>
      <c r="E47" t="s">
        <v>3</v>
      </c>
      <c r="F47" s="2" t="s">
        <v>30</v>
      </c>
      <c r="G47" s="2"/>
      <c r="H47" s="2">
        <f>ROUND(G46/2,0)</f>
        <v>833</v>
      </c>
      <c r="I47" s="2"/>
      <c r="J47" s="2">
        <f>ROUND(I46/2,0)</f>
        <v>9</v>
      </c>
      <c r="K47" s="2"/>
      <c r="L47" s="2">
        <f>ROUND(K46/2,0)</f>
        <v>1258</v>
      </c>
      <c r="M47" s="2"/>
      <c r="N47" s="2">
        <f>ROUND(M46/2,0)</f>
        <v>714</v>
      </c>
      <c r="O47" s="2"/>
      <c r="P47" s="2">
        <f t="shared" si="1"/>
        <v>1.3</v>
      </c>
      <c r="Q47" s="2">
        <f>ROUND(O46/2,0)</f>
        <v>125</v>
      </c>
      <c r="R47" s="2">
        <f t="shared" si="2"/>
        <v>163</v>
      </c>
      <c r="T47" s="2">
        <f>ROUND(S46/2,0)</f>
        <v>1196</v>
      </c>
      <c r="U47" s="2"/>
      <c r="V47" s="2"/>
      <c r="W47" s="2"/>
      <c r="X47" s="2"/>
    </row>
    <row r="48" spans="1:25" x14ac:dyDescent="0.2">
      <c r="A48" s="2" t="s">
        <v>36</v>
      </c>
      <c r="B48">
        <v>2017</v>
      </c>
      <c r="C48">
        <f t="shared" si="0"/>
        <v>2018</v>
      </c>
      <c r="E48" t="s">
        <v>3</v>
      </c>
      <c r="F48" s="2" t="s">
        <v>31</v>
      </c>
      <c r="G48" s="2">
        <v>3442</v>
      </c>
      <c r="H48" s="2">
        <f>ROUND(G48/2,0)</f>
        <v>1721</v>
      </c>
      <c r="I48" s="2">
        <v>24</v>
      </c>
      <c r="J48" s="2">
        <f>ROUND(I48/2,0)</f>
        <v>12</v>
      </c>
      <c r="K48" s="2">
        <f t="shared" si="6"/>
        <v>5187</v>
      </c>
      <c r="L48" s="2">
        <f>ROUND(K48/2,0)</f>
        <v>2594</v>
      </c>
      <c r="M48" s="2">
        <v>2864</v>
      </c>
      <c r="N48" s="2">
        <f>ROUND(M48/2,0)</f>
        <v>1432</v>
      </c>
      <c r="O48" s="2">
        <v>595</v>
      </c>
      <c r="P48" s="2">
        <f t="shared" si="1"/>
        <v>1.3</v>
      </c>
      <c r="Q48" s="2">
        <f>ROUND(O48/2,0)</f>
        <v>298</v>
      </c>
      <c r="R48" s="2">
        <f t="shared" si="2"/>
        <v>387</v>
      </c>
      <c r="S48">
        <f t="shared" si="4"/>
        <v>4891</v>
      </c>
      <c r="T48" s="2">
        <f>ROUND(S48/2,0)</f>
        <v>2446</v>
      </c>
      <c r="U48" s="2">
        <v>2864</v>
      </c>
      <c r="V48" s="2">
        <v>570</v>
      </c>
      <c r="W48" s="3">
        <v>0</v>
      </c>
      <c r="X48" s="2">
        <v>24</v>
      </c>
      <c r="Y48">
        <f t="shared" si="5"/>
        <v>3458</v>
      </c>
    </row>
    <row r="49" spans="1:20" x14ac:dyDescent="0.2">
      <c r="A49" s="2" t="s">
        <v>36</v>
      </c>
      <c r="B49">
        <v>2018</v>
      </c>
      <c r="C49">
        <v>2019</v>
      </c>
      <c r="E49" t="s">
        <v>3</v>
      </c>
      <c r="F49" s="2" t="s">
        <v>31</v>
      </c>
      <c r="H49" s="2">
        <f>ROUND(G48/2,0)</f>
        <v>1721</v>
      </c>
      <c r="J49" s="2">
        <f>ROUND(I48/2,0)</f>
        <v>12</v>
      </c>
      <c r="L49" s="2">
        <f>ROUND(K48/2,0)</f>
        <v>2594</v>
      </c>
      <c r="N49" s="2">
        <f>ROUND(M48/2,0)</f>
        <v>1432</v>
      </c>
      <c r="P49" s="2">
        <f t="shared" si="1"/>
        <v>1.3</v>
      </c>
      <c r="Q49" s="2">
        <f>ROUND(O48/2,0)</f>
        <v>298</v>
      </c>
      <c r="R49" s="2">
        <f t="shared" si="2"/>
        <v>387</v>
      </c>
      <c r="T49" s="2">
        <f>ROUND(S48/2,0)</f>
        <v>2446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7A4B-D746-FF40-899B-56CF3E6FA5B3}">
  <dimension ref="A1:I20"/>
  <sheetViews>
    <sheetView workbookViewId="0">
      <selection activeCell="A26" sqref="A26"/>
    </sheetView>
  </sheetViews>
  <sheetFormatPr baseColWidth="10" defaultRowHeight="16" x14ac:dyDescent="0.2"/>
  <cols>
    <col min="1" max="1" width="50.33203125" customWidth="1"/>
    <col min="2" max="2" width="13.83203125" hidden="1" customWidth="1"/>
    <col min="6" max="8" width="0" hidden="1" customWidth="1"/>
    <col min="9" max="9" width="22.1640625" customWidth="1"/>
  </cols>
  <sheetData>
    <row r="1" spans="1:9" s="4" customFormat="1" x14ac:dyDescent="0.2">
      <c r="A1" s="4" t="s">
        <v>58</v>
      </c>
      <c r="B1" s="4" t="s">
        <v>59</v>
      </c>
      <c r="C1" s="4" t="s">
        <v>45</v>
      </c>
      <c r="D1" s="4" t="s">
        <v>46</v>
      </c>
      <c r="E1" s="4" t="s">
        <v>47</v>
      </c>
      <c r="F1" s="4" t="s">
        <v>70</v>
      </c>
      <c r="G1" s="4" t="s">
        <v>72</v>
      </c>
      <c r="H1" s="4" t="s">
        <v>73</v>
      </c>
      <c r="I1" s="4" t="s">
        <v>56</v>
      </c>
    </row>
    <row r="2" spans="1:9" x14ac:dyDescent="0.2">
      <c r="A2" t="s">
        <v>54</v>
      </c>
      <c r="B2" t="s">
        <v>60</v>
      </c>
      <c r="C2" s="8">
        <f>100%-83.9%</f>
        <v>0.16099999999999992</v>
      </c>
      <c r="D2" s="8">
        <f>100%-87.1%</f>
        <v>0.129</v>
      </c>
      <c r="E2" s="8">
        <f>100%-80.6%</f>
        <v>0.19400000000000006</v>
      </c>
      <c r="F2" s="8"/>
      <c r="G2" s="8"/>
      <c r="H2" s="8"/>
      <c r="I2" t="s">
        <v>57</v>
      </c>
    </row>
    <row r="3" spans="1:9" x14ac:dyDescent="0.2">
      <c r="A3" t="s">
        <v>55</v>
      </c>
      <c r="B3" t="s">
        <v>61</v>
      </c>
      <c r="C3" s="8">
        <f>100%-74.5%</f>
        <v>0.255</v>
      </c>
      <c r="D3" s="8">
        <f>100%-77.5%</f>
        <v>0.22499999999999998</v>
      </c>
      <c r="E3" s="8">
        <f>100%-71.6%</f>
        <v>0.28400000000000003</v>
      </c>
      <c r="F3" s="8"/>
      <c r="G3" s="8"/>
      <c r="H3" s="8"/>
      <c r="I3" t="s">
        <v>57</v>
      </c>
    </row>
    <row r="4" spans="1:9" x14ac:dyDescent="0.2">
      <c r="A4" s="6" t="s">
        <v>50</v>
      </c>
      <c r="B4" s="6" t="s">
        <v>69</v>
      </c>
      <c r="C4" s="8">
        <v>0.14399999999999999</v>
      </c>
      <c r="D4" s="8">
        <v>0.13500000000000001</v>
      </c>
      <c r="E4" s="8">
        <v>0.153</v>
      </c>
      <c r="F4" s="8"/>
      <c r="G4" s="8"/>
      <c r="H4" s="8"/>
      <c r="I4" t="s">
        <v>82</v>
      </c>
    </row>
    <row r="5" spans="1:9" x14ac:dyDescent="0.2">
      <c r="A5" s="6" t="s">
        <v>51</v>
      </c>
      <c r="B5" s="6" t="s">
        <v>69</v>
      </c>
      <c r="C5" s="8">
        <v>0.17599999999999999</v>
      </c>
      <c r="D5" s="8">
        <v>0.16500000000000001</v>
      </c>
      <c r="E5" s="8">
        <v>0.187</v>
      </c>
      <c r="F5" s="8"/>
      <c r="G5" s="8"/>
      <c r="H5" s="8"/>
      <c r="I5" t="s">
        <v>82</v>
      </c>
    </row>
    <row r="6" spans="1:9" x14ac:dyDescent="0.2">
      <c r="A6" s="6" t="s">
        <v>52</v>
      </c>
      <c r="B6" s="6" t="s">
        <v>69</v>
      </c>
      <c r="C6" s="8">
        <v>0.27300000000000002</v>
      </c>
      <c r="D6" s="8">
        <v>0.26100000000000001</v>
      </c>
      <c r="E6" s="8">
        <v>0.28399999999999997</v>
      </c>
      <c r="F6" s="8"/>
      <c r="G6" s="8"/>
      <c r="H6" s="8"/>
      <c r="I6" t="s">
        <v>82</v>
      </c>
    </row>
    <row r="7" spans="1:9" x14ac:dyDescent="0.2">
      <c r="A7" s="6" t="s">
        <v>53</v>
      </c>
      <c r="B7" s="6" t="s">
        <v>69</v>
      </c>
      <c r="C7" s="8">
        <v>0.311</v>
      </c>
      <c r="D7" s="8">
        <v>0.3</v>
      </c>
      <c r="E7" s="8">
        <v>0.32300000000000001</v>
      </c>
      <c r="F7" s="8"/>
      <c r="G7" s="8"/>
      <c r="H7" s="8"/>
      <c r="I7" t="s">
        <v>82</v>
      </c>
    </row>
    <row r="8" spans="1:9" x14ac:dyDescent="0.2">
      <c r="A8" s="6" t="s">
        <v>74</v>
      </c>
      <c r="B8" s="6" t="s">
        <v>62</v>
      </c>
      <c r="C8" s="9">
        <f>(-LN(1-C4)/12)</f>
        <v>1.2957075236699582E-2</v>
      </c>
      <c r="D8" s="9">
        <f t="shared" ref="D8:E8" si="0">(-LN(1-D4)/12)</f>
        <v>1.2085481004188145E-2</v>
      </c>
      <c r="E8" s="9">
        <f t="shared" si="0"/>
        <v>1.383788202750689E-2</v>
      </c>
      <c r="F8" s="9"/>
      <c r="G8" s="9"/>
      <c r="H8" s="9"/>
      <c r="I8" t="s">
        <v>68</v>
      </c>
    </row>
    <row r="9" spans="1:9" x14ac:dyDescent="0.2">
      <c r="A9" s="6" t="s">
        <v>75</v>
      </c>
      <c r="B9" s="6" t="s">
        <v>63</v>
      </c>
      <c r="C9" s="9">
        <f>(-LN(1-C5)/12)</f>
        <v>1.6132062422722106E-2</v>
      </c>
      <c r="D9" s="9">
        <f t="shared" ref="D9:E9" si="1">(-LN(1-D5)/12)</f>
        <v>1.5026962844273468E-2</v>
      </c>
      <c r="E9" s="9">
        <f t="shared" si="1"/>
        <v>1.7252014119527211E-2</v>
      </c>
      <c r="F9" s="9"/>
      <c r="G9" s="9"/>
      <c r="H9" s="9"/>
      <c r="I9" t="s">
        <v>68</v>
      </c>
    </row>
    <row r="10" spans="1:9" x14ac:dyDescent="0.2">
      <c r="A10" s="6" t="s">
        <v>76</v>
      </c>
      <c r="B10" s="6" t="s">
        <v>64</v>
      </c>
      <c r="C10" s="9">
        <f t="shared" ref="C10:E10" si="2">(-LN(1-C6)/12)</f>
        <v>2.6569066787384809E-2</v>
      </c>
      <c r="D10" s="9">
        <f t="shared" si="2"/>
        <v>2.5204779836161276E-2</v>
      </c>
      <c r="E10" s="9">
        <f t="shared" si="2"/>
        <v>2.7839592668457622E-2</v>
      </c>
      <c r="F10" s="9"/>
      <c r="G10" s="9"/>
      <c r="H10" s="9"/>
      <c r="I10" t="s">
        <v>68</v>
      </c>
    </row>
    <row r="11" spans="1:9" x14ac:dyDescent="0.2">
      <c r="A11" s="6" t="s">
        <v>77</v>
      </c>
      <c r="B11" s="6" t="s">
        <v>65</v>
      </c>
      <c r="C11" s="9">
        <f t="shared" ref="C11:E11" si="3">(-LN(1-C7)/12)</f>
        <v>3.10428339973732E-2</v>
      </c>
      <c r="D11" s="9">
        <f t="shared" si="3"/>
        <v>2.9722911994894369E-2</v>
      </c>
      <c r="E11" s="9">
        <f t="shared" si="3"/>
        <v>3.250700050582183E-2</v>
      </c>
      <c r="F11" s="9"/>
      <c r="G11" s="9"/>
      <c r="H11" s="9"/>
      <c r="I11" t="s">
        <v>68</v>
      </c>
    </row>
    <row r="12" spans="1:9" x14ac:dyDescent="0.2">
      <c r="A12" t="s">
        <v>49</v>
      </c>
      <c r="B12" s="6" t="s">
        <v>66</v>
      </c>
      <c r="C12">
        <v>397.9</v>
      </c>
      <c r="D12">
        <v>376</v>
      </c>
      <c r="E12">
        <v>416.1</v>
      </c>
      <c r="F12" t="s">
        <v>71</v>
      </c>
      <c r="G12">
        <v>829.95820000000003</v>
      </c>
      <c r="H12">
        <v>10000</v>
      </c>
      <c r="I12" t="s">
        <v>57</v>
      </c>
    </row>
    <row r="13" spans="1:9" x14ac:dyDescent="0.2">
      <c r="A13" t="s">
        <v>48</v>
      </c>
      <c r="B13" s="6" t="s">
        <v>67</v>
      </c>
      <c r="C13">
        <v>361.4</v>
      </c>
      <c r="D13">
        <v>313.89999999999998</v>
      </c>
      <c r="E13">
        <v>423.4</v>
      </c>
      <c r="F13" t="s">
        <v>71</v>
      </c>
      <c r="G13">
        <v>158.9316</v>
      </c>
      <c r="H13">
        <v>1725.2134000000001</v>
      </c>
      <c r="I13" t="s">
        <v>57</v>
      </c>
    </row>
    <row r="14" spans="1:9" x14ac:dyDescent="0.2">
      <c r="A14" t="s">
        <v>80</v>
      </c>
      <c r="B14" s="6" t="s">
        <v>78</v>
      </c>
      <c r="C14">
        <v>25.5</v>
      </c>
      <c r="D14">
        <v>20.399999999999999</v>
      </c>
      <c r="E14">
        <v>30.7</v>
      </c>
      <c r="I14" t="s">
        <v>57</v>
      </c>
    </row>
    <row r="15" spans="1:9" x14ac:dyDescent="0.2">
      <c r="A15" t="s">
        <v>81</v>
      </c>
      <c r="B15" s="6" t="s">
        <v>79</v>
      </c>
      <c r="C15">
        <v>49.4</v>
      </c>
      <c r="D15">
        <v>39.700000000000003</v>
      </c>
      <c r="E15">
        <v>58.9</v>
      </c>
      <c r="I15" t="s">
        <v>57</v>
      </c>
    </row>
    <row r="19" spans="3:3" x14ac:dyDescent="0.2">
      <c r="C19" s="7"/>
    </row>
    <row r="20" spans="3:3" x14ac:dyDescent="0.2">
      <c r="C20" s="7"/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CFB6-91B4-E547-9D8D-8CBB7753D43D}">
  <dimension ref="C2:N28"/>
  <sheetViews>
    <sheetView topLeftCell="A10" workbookViewId="0">
      <selection activeCell="F37" sqref="F37"/>
    </sheetView>
  </sheetViews>
  <sheetFormatPr baseColWidth="10" defaultRowHeight="16" x14ac:dyDescent="0.2"/>
  <cols>
    <col min="9" max="9" width="15.5" customWidth="1"/>
  </cols>
  <sheetData>
    <row r="2" spans="3:14" x14ac:dyDescent="0.2">
      <c r="D2">
        <v>365</v>
      </c>
    </row>
    <row r="3" spans="3:14" x14ac:dyDescent="0.2">
      <c r="D3">
        <v>12</v>
      </c>
    </row>
    <row r="4" spans="3:14" x14ac:dyDescent="0.2">
      <c r="C4">
        <v>0.1</v>
      </c>
      <c r="E4">
        <f>1-EXP(-C4*$D$3)</f>
        <v>0.69880578808779803</v>
      </c>
      <c r="F4">
        <f>1-EXP(-C4*$D$2)</f>
        <v>0.99999999999999989</v>
      </c>
      <c r="H4">
        <f>E21</f>
        <v>0</v>
      </c>
      <c r="I4">
        <f>-LN(1-F4)/$D$2</f>
        <v>0.10064876868404685</v>
      </c>
    </row>
    <row r="5" spans="3:14" x14ac:dyDescent="0.2">
      <c r="C5">
        <v>0.2</v>
      </c>
      <c r="E5">
        <f t="shared" ref="E5:E6" si="0">1-EXP(-C5*$D$3)</f>
        <v>0.90928204671058754</v>
      </c>
      <c r="F5">
        <f t="shared" ref="F5:F6" si="1">1-EXP(-C5*$D$2)</f>
        <v>1</v>
      </c>
      <c r="H5">
        <f>-LN(1-E5)/$D$3</f>
        <v>0.20000000000000004</v>
      </c>
      <c r="I5" t="e">
        <f>-LN(1-F5)/$D$2</f>
        <v>#NUM!</v>
      </c>
    </row>
    <row r="6" spans="3:14" x14ac:dyDescent="0.2">
      <c r="C6">
        <v>0.3</v>
      </c>
      <c r="E6">
        <f t="shared" si="0"/>
        <v>0.97267627755270747</v>
      </c>
      <c r="F6">
        <f t="shared" si="1"/>
        <v>1</v>
      </c>
      <c r="H6">
        <f t="shared" ref="H6" si="2">-LN(1-E6)/$D$3</f>
        <v>0.3000000000000001</v>
      </c>
      <c r="I6" t="e">
        <f>-LN(1-F6)/$D$2</f>
        <v>#NUM!</v>
      </c>
    </row>
    <row r="12" spans="3:14" x14ac:dyDescent="0.2">
      <c r="C12" t="s">
        <v>89</v>
      </c>
      <c r="D12" s="1" t="s">
        <v>90</v>
      </c>
      <c r="E12" s="1" t="s">
        <v>83</v>
      </c>
      <c r="F12" s="1" t="s">
        <v>84</v>
      </c>
    </row>
    <row r="13" spans="3:14" x14ac:dyDescent="0.2">
      <c r="C13" t="s">
        <v>85</v>
      </c>
      <c r="D13" s="1" t="s">
        <v>87</v>
      </c>
      <c r="E13" s="2">
        <v>5.4362589999999997</v>
      </c>
      <c r="F13" s="2">
        <v>0.29963909999999999</v>
      </c>
      <c r="I13" t="s">
        <v>89</v>
      </c>
      <c r="J13" t="s">
        <v>90</v>
      </c>
      <c r="K13" t="s">
        <v>93</v>
      </c>
      <c r="L13" s="1" t="s">
        <v>91</v>
      </c>
      <c r="M13" s="1" t="s">
        <v>92</v>
      </c>
      <c r="N13" s="1"/>
    </row>
    <row r="14" spans="3:14" x14ac:dyDescent="0.2">
      <c r="C14" t="s">
        <v>85</v>
      </c>
      <c r="D14" s="1" t="s">
        <v>87</v>
      </c>
      <c r="E14" s="2">
        <v>5.5049729999999997</v>
      </c>
      <c r="F14" s="2">
        <v>0.29590830000000001</v>
      </c>
      <c r="I14" t="s">
        <v>85</v>
      </c>
      <c r="J14" s="1" t="s">
        <v>87</v>
      </c>
      <c r="K14" t="s">
        <v>12</v>
      </c>
      <c r="L14" s="2">
        <v>160.47710000000001</v>
      </c>
      <c r="M14" s="2">
        <v>495.15030000000002</v>
      </c>
    </row>
    <row r="15" spans="3:14" x14ac:dyDescent="0.2">
      <c r="C15" t="s">
        <v>86</v>
      </c>
      <c r="D15" s="1" t="s">
        <v>88</v>
      </c>
      <c r="E15" s="2">
        <v>5.9883009999999999</v>
      </c>
      <c r="F15" s="2">
        <v>0.36520910000000001</v>
      </c>
      <c r="I15" t="s">
        <v>85</v>
      </c>
      <c r="J15" s="1" t="s">
        <v>87</v>
      </c>
      <c r="K15" t="s">
        <v>13</v>
      </c>
      <c r="L15" s="2">
        <v>164.4468</v>
      </c>
      <c r="M15" s="2">
        <v>477.97649999999999</v>
      </c>
    </row>
    <row r="16" spans="3:14" x14ac:dyDescent="0.2">
      <c r="C16" t="s">
        <v>86</v>
      </c>
      <c r="D16" s="1" t="s">
        <v>88</v>
      </c>
      <c r="E16" s="2">
        <v>6.0294980000000002</v>
      </c>
      <c r="F16" s="2">
        <v>0.36146299999999998</v>
      </c>
      <c r="I16" t="s">
        <v>85</v>
      </c>
      <c r="J16" s="1" t="s">
        <v>87</v>
      </c>
      <c r="K16" t="s">
        <v>14</v>
      </c>
      <c r="L16" s="2">
        <v>155.79910000000001</v>
      </c>
      <c r="M16" s="2">
        <v>462.02539999999999</v>
      </c>
    </row>
    <row r="17" spans="3:13" x14ac:dyDescent="0.2">
      <c r="I17" t="s">
        <v>85</v>
      </c>
      <c r="J17" s="1" t="s">
        <v>88</v>
      </c>
      <c r="K17" t="s">
        <v>12</v>
      </c>
      <c r="L17" s="2">
        <v>187.62010000000001</v>
      </c>
      <c r="M17" s="2">
        <v>569.55529999999999</v>
      </c>
    </row>
    <row r="18" spans="3:13" x14ac:dyDescent="0.2">
      <c r="I18" t="s">
        <v>85</v>
      </c>
      <c r="J18" s="1" t="s">
        <v>88</v>
      </c>
      <c r="K18" t="s">
        <v>13</v>
      </c>
      <c r="L18" s="2">
        <v>187.41210000000001</v>
      </c>
      <c r="M18" s="2">
        <v>562.01350000000002</v>
      </c>
    </row>
    <row r="19" spans="3:13" x14ac:dyDescent="0.2">
      <c r="I19" t="s">
        <v>85</v>
      </c>
      <c r="J19" s="1" t="s">
        <v>88</v>
      </c>
      <c r="K19" t="s">
        <v>14</v>
      </c>
      <c r="L19" s="2">
        <v>189.44839999999999</v>
      </c>
      <c r="M19" s="2">
        <v>586.64269999999999</v>
      </c>
    </row>
    <row r="20" spans="3:13" x14ac:dyDescent="0.2">
      <c r="D20" s="11" t="s">
        <v>84</v>
      </c>
      <c r="E20" s="11" t="s">
        <v>92</v>
      </c>
      <c r="I20" t="s">
        <v>86</v>
      </c>
      <c r="J20" s="1" t="s">
        <v>87</v>
      </c>
      <c r="K20" t="s">
        <v>12</v>
      </c>
      <c r="L20" s="2">
        <v>257.97969999999998</v>
      </c>
      <c r="M20" s="2">
        <v>1173.191</v>
      </c>
    </row>
    <row r="21" spans="3:13" x14ac:dyDescent="0.2">
      <c r="C21" s="1" t="s">
        <v>83</v>
      </c>
      <c r="D21" s="11"/>
      <c r="E21" s="11"/>
      <c r="I21" t="s">
        <v>86</v>
      </c>
      <c r="J21" s="1" t="s">
        <v>87</v>
      </c>
      <c r="K21" t="s">
        <v>13</v>
      </c>
      <c r="L21" s="2">
        <v>210.22130000000001</v>
      </c>
      <c r="M21" s="2">
        <v>1146.9760000000001</v>
      </c>
    </row>
    <row r="22" spans="3:13" x14ac:dyDescent="0.2">
      <c r="C22" s="1"/>
      <c r="D22" s="1"/>
      <c r="E22" s="1"/>
      <c r="F22" s="1"/>
      <c r="I22" t="s">
        <v>86</v>
      </c>
      <c r="J22" s="1" t="s">
        <v>87</v>
      </c>
      <c r="K22" t="s">
        <v>14</v>
      </c>
      <c r="L22" s="2">
        <v>191.82259999999999</v>
      </c>
      <c r="M22" s="2">
        <v>1031.576</v>
      </c>
    </row>
    <row r="23" spans="3:13" x14ac:dyDescent="0.2">
      <c r="C23" s="1">
        <v>1</v>
      </c>
      <c r="D23" s="2">
        <v>5.4362589999999997</v>
      </c>
      <c r="E23" s="2">
        <v>0.29963909999999999</v>
      </c>
      <c r="F23" s="2">
        <v>2.7181299999999999</v>
      </c>
      <c r="I23" t="s">
        <v>86</v>
      </c>
      <c r="J23" s="1" t="s">
        <v>88</v>
      </c>
      <c r="K23" t="s">
        <v>12</v>
      </c>
      <c r="L23" s="2">
        <v>347.70119999999997</v>
      </c>
      <c r="M23" s="2">
        <v>1584.4159999999999</v>
      </c>
    </row>
    <row r="24" spans="3:13" x14ac:dyDescent="0.2">
      <c r="C24" s="1">
        <v>2</v>
      </c>
      <c r="D24" s="2">
        <v>5.5049729999999997</v>
      </c>
      <c r="E24" s="2">
        <v>0.29590830000000001</v>
      </c>
      <c r="F24" s="2">
        <v>2.7524860000000002</v>
      </c>
      <c r="I24" t="s">
        <v>86</v>
      </c>
      <c r="J24" s="1" t="s">
        <v>88</v>
      </c>
      <c r="K24" t="s">
        <v>13</v>
      </c>
      <c r="L24" s="2">
        <v>333.4391</v>
      </c>
      <c r="M24" s="2">
        <v>1554.838</v>
      </c>
    </row>
    <row r="25" spans="3:13" x14ac:dyDescent="0.2">
      <c r="C25" s="1">
        <v>3</v>
      </c>
      <c r="D25" s="2">
        <v>5.9883009999999999</v>
      </c>
      <c r="E25" s="2">
        <v>0.36520910000000001</v>
      </c>
      <c r="F25" s="2">
        <v>2.9941499999999999</v>
      </c>
      <c r="I25" t="s">
        <v>86</v>
      </c>
      <c r="J25" s="1" t="s">
        <v>88</v>
      </c>
      <c r="K25" t="s">
        <v>14</v>
      </c>
      <c r="L25" s="2">
        <v>365.28519999999997</v>
      </c>
      <c r="M25" s="2">
        <v>1598.4659999999999</v>
      </c>
    </row>
    <row r="26" spans="3:13" x14ac:dyDescent="0.2">
      <c r="C26" s="1">
        <v>4</v>
      </c>
      <c r="D26" s="2">
        <v>6.0294980000000002</v>
      </c>
      <c r="E26" s="2">
        <v>0.36146299999999998</v>
      </c>
      <c r="F26" s="2">
        <v>3.0147490000000001</v>
      </c>
      <c r="L26" s="1">
        <v>4</v>
      </c>
    </row>
    <row r="27" spans="3:13" x14ac:dyDescent="0.2">
      <c r="L27" s="1">
        <v>5</v>
      </c>
    </row>
    <row r="28" spans="3:13" x14ac:dyDescent="0.2">
      <c r="L28" s="1">
        <v>6</v>
      </c>
    </row>
  </sheetData>
  <mergeCells count="2">
    <mergeCell ref="D20:D21"/>
    <mergeCell ref="E20:E2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5406-264D-024C-8527-8599593932F3}">
  <dimension ref="E3:L18"/>
  <sheetViews>
    <sheetView workbookViewId="0">
      <selection activeCell="E28" sqref="E28"/>
    </sheetView>
  </sheetViews>
  <sheetFormatPr baseColWidth="10" defaultRowHeight="16" x14ac:dyDescent="0.2"/>
  <cols>
    <col min="12" max="12" width="14.5" customWidth="1"/>
  </cols>
  <sheetData>
    <row r="3" spans="5:12" x14ac:dyDescent="0.2">
      <c r="E3" t="s">
        <v>94</v>
      </c>
      <c r="F3" t="s">
        <v>95</v>
      </c>
      <c r="G3" t="s">
        <v>15</v>
      </c>
      <c r="H3" t="s">
        <v>96</v>
      </c>
      <c r="I3" t="s">
        <v>27</v>
      </c>
      <c r="K3" t="s">
        <v>97</v>
      </c>
      <c r="L3" t="s">
        <v>98</v>
      </c>
    </row>
    <row r="4" spans="5:12" x14ac:dyDescent="0.2">
      <c r="E4">
        <v>2000</v>
      </c>
      <c r="F4">
        <v>-2004</v>
      </c>
      <c r="G4">
        <v>1</v>
      </c>
      <c r="H4">
        <v>0.04</v>
      </c>
      <c r="I4">
        <v>-2</v>
      </c>
      <c r="K4">
        <f>E4+F4*G4+H4*I4</f>
        <v>-4.08</v>
      </c>
      <c r="L4">
        <f>1/(1+EXP(-K4))</f>
        <v>1.6626356107881622E-2</v>
      </c>
    </row>
    <row r="5" spans="5:12" x14ac:dyDescent="0.2">
      <c r="E5">
        <v>2000</v>
      </c>
      <c r="F5">
        <v>-2004</v>
      </c>
      <c r="G5">
        <v>1</v>
      </c>
      <c r="H5">
        <v>0.04</v>
      </c>
      <c r="I5">
        <v>0</v>
      </c>
      <c r="K5">
        <f t="shared" ref="K5:K9" si="0">D5+E5+F5*G5+H5*I5</f>
        <v>-4</v>
      </c>
      <c r="L5">
        <f t="shared" ref="L5:L9" si="1">1/(1+EXP(-K5))</f>
        <v>1.7986209962091559E-2</v>
      </c>
    </row>
    <row r="6" spans="5:12" x14ac:dyDescent="0.2">
      <c r="E6">
        <v>2000</v>
      </c>
      <c r="F6">
        <v>-2004</v>
      </c>
      <c r="G6">
        <v>1</v>
      </c>
      <c r="H6">
        <v>0.04</v>
      </c>
      <c r="I6">
        <v>2</v>
      </c>
      <c r="K6">
        <f t="shared" si="0"/>
        <v>-3.92</v>
      </c>
      <c r="L6">
        <f t="shared" si="1"/>
        <v>1.9455084568193035E-2</v>
      </c>
    </row>
    <row r="7" spans="5:12" x14ac:dyDescent="0.2">
      <c r="E7">
        <v>927</v>
      </c>
      <c r="F7">
        <v>-465</v>
      </c>
      <c r="G7">
        <v>2</v>
      </c>
      <c r="H7">
        <v>-1</v>
      </c>
      <c r="I7">
        <v>-2</v>
      </c>
      <c r="K7">
        <f t="shared" si="0"/>
        <v>-1</v>
      </c>
      <c r="L7">
        <f t="shared" si="1"/>
        <v>0.2689414213699951</v>
      </c>
    </row>
    <row r="8" spans="5:12" x14ac:dyDescent="0.2">
      <c r="E8">
        <v>927</v>
      </c>
      <c r="F8">
        <v>-465</v>
      </c>
      <c r="G8">
        <v>2</v>
      </c>
      <c r="H8">
        <v>-1</v>
      </c>
      <c r="I8">
        <v>0</v>
      </c>
      <c r="K8">
        <f t="shared" si="0"/>
        <v>-3</v>
      </c>
      <c r="L8">
        <f t="shared" si="1"/>
        <v>4.7425873177566781E-2</v>
      </c>
    </row>
    <row r="9" spans="5:12" x14ac:dyDescent="0.2">
      <c r="E9">
        <v>1</v>
      </c>
      <c r="F9">
        <v>-1</v>
      </c>
      <c r="G9">
        <v>2</v>
      </c>
      <c r="H9">
        <v>-1</v>
      </c>
      <c r="I9">
        <v>2</v>
      </c>
      <c r="K9">
        <f t="shared" si="0"/>
        <v>-3</v>
      </c>
      <c r="L9">
        <f t="shared" si="1"/>
        <v>4.7425873177566781E-2</v>
      </c>
    </row>
    <row r="14" spans="5:12" x14ac:dyDescent="0.2">
      <c r="G14" t="s">
        <v>99</v>
      </c>
      <c r="H14" t="s">
        <v>100</v>
      </c>
    </row>
    <row r="15" spans="5:12" x14ac:dyDescent="0.2">
      <c r="F15">
        <v>0.1</v>
      </c>
      <c r="G15">
        <f>LN(F15/(1-F15))</f>
        <v>-2.1972245773362191</v>
      </c>
      <c r="H15">
        <f>1/(1+EXP(-G15))</f>
        <v>0.10000000000000002</v>
      </c>
    </row>
    <row r="16" spans="5:12" x14ac:dyDescent="0.2">
      <c r="F16">
        <v>0.01</v>
      </c>
      <c r="G16">
        <f t="shared" ref="G16" si="2">LN(F16/(1-F16))</f>
        <v>-4.5951198501345898</v>
      </c>
      <c r="H16">
        <f t="shared" ref="H16:H18" si="3">1/(1+EXP(-G16))</f>
        <v>1.0000000000000002E-2</v>
      </c>
    </row>
    <row r="17" spans="6:8" x14ac:dyDescent="0.2">
      <c r="F17">
        <v>1</v>
      </c>
      <c r="G17" t="e">
        <f>LN(F17/(1-F17))</f>
        <v>#DIV/0!</v>
      </c>
      <c r="H17" t="e">
        <f t="shared" si="3"/>
        <v>#DIV/0!</v>
      </c>
    </row>
    <row r="18" spans="6:8" x14ac:dyDescent="0.2">
      <c r="F18">
        <v>0.46</v>
      </c>
      <c r="G18">
        <f>LN(F18/(1-F18))</f>
        <v>-0.16034265007517937</v>
      </c>
      <c r="H18">
        <f t="shared" si="3"/>
        <v>0.46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5C53-CB81-DF41-9BC1-8D27F6FFA7CE}">
  <dimension ref="B7:J11"/>
  <sheetViews>
    <sheetView workbookViewId="0">
      <selection activeCell="E30" sqref="E30"/>
    </sheetView>
  </sheetViews>
  <sheetFormatPr baseColWidth="10" defaultRowHeight="16" x14ac:dyDescent="0.2"/>
  <cols>
    <col min="11" max="11" width="10.83203125" customWidth="1"/>
  </cols>
  <sheetData>
    <row r="7" spans="2:10" x14ac:dyDescent="0.2">
      <c r="B7" t="s">
        <v>16</v>
      </c>
      <c r="D7">
        <v>30</v>
      </c>
      <c r="E7">
        <v>1000</v>
      </c>
      <c r="G7">
        <f>D7/E7</f>
        <v>0.03</v>
      </c>
      <c r="J7">
        <f>G7*I9</f>
        <v>1</v>
      </c>
    </row>
    <row r="9" spans="2:10" x14ac:dyDescent="0.2">
      <c r="B9" t="s">
        <v>25</v>
      </c>
      <c r="D9">
        <v>20</v>
      </c>
      <c r="E9">
        <f>D9</f>
        <v>20</v>
      </c>
      <c r="G9">
        <f>D9/E9</f>
        <v>1</v>
      </c>
      <c r="I9">
        <f>G9/G7</f>
        <v>33.333333333333336</v>
      </c>
    </row>
    <row r="11" spans="2:10" x14ac:dyDescent="0.2">
      <c r="B11" t="s">
        <v>101</v>
      </c>
      <c r="D11">
        <f>D7-D9</f>
        <v>10</v>
      </c>
      <c r="E11">
        <f>E7-E9</f>
        <v>980</v>
      </c>
      <c r="G11">
        <f>D11/E11</f>
        <v>1.020408163265306E-2</v>
      </c>
      <c r="J11">
        <f>G11*I9</f>
        <v>0.3401360544217687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nhanes</vt:lpstr>
      <vt:lpstr>nsfg</vt:lpstr>
      <vt:lpstr>params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Minttu Rönn</dc:creator>
  <cp:lastModifiedBy>Minttu Rönn</cp:lastModifiedBy>
  <dcterms:created xsi:type="dcterms:W3CDTF">2022-09-18T14:48:37Z</dcterms:created>
  <dcterms:modified xsi:type="dcterms:W3CDTF">2022-10-31T16:03:15Z</dcterms:modified>
</cp:coreProperties>
</file>